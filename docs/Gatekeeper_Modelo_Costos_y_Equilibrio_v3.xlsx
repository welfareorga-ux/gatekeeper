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Supuestos" sheetId="1" state="visible" r:id="rId1"/>
    <sheet xmlns:r="http://schemas.openxmlformats.org/officeDocument/2006/relationships" name="2. Infraestructura" sheetId="2" state="visible" r:id="rId2"/>
    <sheet xmlns:r="http://schemas.openxmlformats.org/officeDocument/2006/relationships" name="3. Costo x Usuario" sheetId="3" state="visible" r:id="rId3"/>
    <sheet xmlns:r="http://schemas.openxmlformats.org/officeDocument/2006/relationships" name="4. Margen x Cliente" sheetId="4" state="visible" r:id="rId4"/>
    <sheet xmlns:r="http://schemas.openxmlformats.org/officeDocument/2006/relationships" name="5. Punto Equilibrio" sheetId="5" state="visible" r:id="rId5"/>
    <sheet xmlns:r="http://schemas.openxmlformats.org/officeDocument/2006/relationships" name="6. Tier Grat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S/ &quot;#,##0"/>
    <numFmt numFmtId="165" formatCode="0.0%"/>
    <numFmt numFmtId="166" formatCode="&quot;$ &quot;#,##0.00"/>
    <numFmt numFmtId="167" formatCode="&quot;$ &quot;#,##0.0000"/>
    <numFmt numFmtId="168" formatCode="&quot;S/ &quot;#,##0.00"/>
  </numFmts>
  <fonts count="7">
    <font>
      <name val="Calibri"/>
      <family val="2"/>
      <color theme="1"/>
      <sz val="11"/>
      <scheme val="minor"/>
    </font>
    <font>
      <name val="Calibri"/>
      <b val="1"/>
      <color rgb="000F172A"/>
      <sz val="16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b val="1"/>
      <color rgb="00EA580C"/>
      <sz val="12"/>
    </font>
    <font>
      <name val="Calibri"/>
      <sz val="11"/>
    </font>
    <font>
      <name val="Calibri"/>
      <b val="1"/>
      <sz val="11"/>
    </font>
  </fonts>
  <fills count="8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1F5F9"/>
      </patternFill>
    </fill>
    <fill>
      <patternFill patternType="solid">
        <fgColor rgb="00FEF9C3"/>
      </patternFill>
    </fill>
    <fill>
      <patternFill patternType="solid">
        <fgColor rgb="00EA580C"/>
      </patternFill>
    </fill>
    <fill>
      <patternFill patternType="solid">
        <fgColor rgb="00FEE2E2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0" fillId="3" borderId="1" pivotButton="0" quotePrefix="0" xfId="0"/>
    <xf numFmtId="0" fontId="5" fillId="0" borderId="1" pivotButton="0" quotePrefix="0" xfId="0"/>
    <xf numFmtId="164" fontId="6" fillId="4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2" fillId="0" borderId="1" pivotButton="0" quotePrefix="0" xfId="0"/>
    <xf numFmtId="165" fontId="6" fillId="4" borderId="1" applyAlignment="1" pivotButton="0" quotePrefix="0" xfId="0">
      <alignment horizontal="center"/>
    </xf>
    <xf numFmtId="3" fontId="6" fillId="4" borderId="1" applyAlignment="1" pivotButton="0" quotePrefix="0" xfId="0">
      <alignment horizontal="center"/>
    </xf>
    <xf numFmtId="166" fontId="6" fillId="4" borderId="1" applyAlignment="1" pivotButton="0" quotePrefix="0" xfId="0">
      <alignment horizontal="center"/>
    </xf>
    <xf numFmtId="167" fontId="6" fillId="4" borderId="1" applyAlignment="1" pivotButton="0" quotePrefix="0" xfId="0">
      <alignment horizontal="center"/>
    </xf>
    <xf numFmtId="166" fontId="0" fillId="4" borderId="1" applyAlignment="1" pivotButton="0" quotePrefix="0" xfId="0">
      <alignment horizontal="center"/>
    </xf>
    <xf numFmtId="168" fontId="0" fillId="0" borderId="1" pivotButton="0" quotePrefix="0" xfId="0"/>
    <xf numFmtId="0" fontId="0" fillId="0" borderId="1" applyAlignment="1" pivotButton="0" quotePrefix="0" xfId="0">
      <alignment horizontal="center"/>
    </xf>
    <xf numFmtId="0" fontId="3" fillId="5" borderId="1" pivotButton="0" quotePrefix="0" xfId="0"/>
    <xf numFmtId="166" fontId="3" fillId="5" borderId="1" applyAlignment="1" pivotButton="0" quotePrefix="0" xfId="0">
      <alignment horizontal="center"/>
    </xf>
    <xf numFmtId="168" fontId="3" fillId="5" borderId="1" pivotButton="0" quotePrefix="0" xfId="0"/>
    <xf numFmtId="0" fontId="4" fillId="0" borderId="0" pivotButton="0" quotePrefix="0" xfId="0"/>
    <xf numFmtId="168" fontId="0" fillId="0" borderId="1" applyAlignment="1" pivotButton="0" quotePrefix="0" xfId="0">
      <alignment horizontal="center"/>
    </xf>
    <xf numFmtId="168" fontId="3" fillId="5" borderId="1" applyAlignment="1" pivotButton="0" quotePrefix="0" xfId="0">
      <alignment horizontal="center"/>
    </xf>
    <xf numFmtId="0" fontId="2" fillId="5" borderId="1" pivotButton="0" quotePrefix="0" xfId="0"/>
    <xf numFmtId="3" fontId="6" fillId="0" borderId="1" applyAlignment="1" pivotButton="0" quotePrefix="0" xfId="0">
      <alignment horizontal="center"/>
    </xf>
    <xf numFmtId="168" fontId="6" fillId="0" borderId="1" applyAlignment="1" pivotButton="0" quotePrefix="0" xfId="0">
      <alignment horizontal="center"/>
    </xf>
    <xf numFmtId="3" fontId="0" fillId="4" borderId="1" applyAlignment="1" pivotButton="0" quotePrefix="0" xfId="0">
      <alignment horizontal="center"/>
    </xf>
    <xf numFmtId="3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165" fontId="6" fillId="0" borderId="1" applyAlignment="1" pivotButton="0" quotePrefix="0" xfId="0">
      <alignment horizontal="center"/>
    </xf>
    <xf numFmtId="0" fontId="5" fillId="0" borderId="0" pivotButton="0" quotePrefix="0" xfId="0"/>
    <xf numFmtId="0" fontId="6" fillId="0" borderId="1" pivotButton="0" quotePrefix="0" xfId="0"/>
    <xf numFmtId="164" fontId="6" fillId="0" borderId="1" applyAlignment="1" pivotButton="0" quotePrefix="0" xfId="0">
      <alignment horizontal="center"/>
    </xf>
    <xf numFmtId="3" fontId="3" fillId="5" borderId="1" applyAlignment="1" pivotButton="0" quotePrefix="0" xfId="0">
      <alignment horizontal="center"/>
    </xf>
    <xf numFmtId="0" fontId="0" fillId="0" borderId="1" pivotButton="0" quotePrefix="0" xfId="0"/>
    <xf numFmtId="0" fontId="6" fillId="0" borderId="1" applyAlignment="1" pivotButton="0" quotePrefix="0" xfId="0">
      <alignment horizontal="center"/>
    </xf>
    <xf numFmtId="0" fontId="6" fillId="6" borderId="1" applyAlignment="1" pivotButton="0" quotePrefix="0" xfId="0">
      <alignment horizontal="center"/>
    </xf>
    <xf numFmtId="168" fontId="6" fillId="7" borderId="1" applyAlignment="1" pivotButton="0" quotePrefix="0" xfId="0">
      <alignment horizontal="center"/>
    </xf>
    <xf numFmtId="3" fontId="6" fillId="7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6" fillId="7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  <col width="16" customWidth="1" min="3" max="3"/>
    <col width="62" customWidth="1" min="4" max="4"/>
  </cols>
  <sheetData>
    <row r="1">
      <c r="A1" s="1" t="inlineStr">
        <is>
          <t>Gatekeeper — Supuestos del modelo</t>
        </is>
      </c>
    </row>
    <row r="2">
      <c r="A2" s="2" t="inlineStr">
        <is>
          <t>Celdas AMARILLAS = editables. Todo el libro se recalcula solo al cambiarlas.</t>
        </is>
      </c>
    </row>
    <row r="4" ht="28" customHeight="1">
      <c r="A4" s="3" t="inlineStr">
        <is>
          <t>Parámetro</t>
        </is>
      </c>
      <c r="B4" s="3" t="inlineStr">
        <is>
          <t>Valor</t>
        </is>
      </c>
      <c r="C4" s="3" t="inlineStr">
        <is>
          <t>Unidad</t>
        </is>
      </c>
      <c r="D4" s="3" t="inlineStr">
        <is>
          <t>Fuente / Nota</t>
        </is>
      </c>
    </row>
    <row r="5">
      <c r="A5" s="4" t="inlineStr">
        <is>
          <t>Moneda e impuestos</t>
        </is>
      </c>
      <c r="B5" s="5" t="n"/>
      <c r="C5" s="5" t="n"/>
      <c r="D5" s="5" t="n"/>
    </row>
    <row r="6">
      <c r="A6" s="6" t="inlineStr">
        <is>
          <t>Tipo de cambio USD → PEN</t>
        </is>
      </c>
      <c r="B6" s="7" t="n">
        <v>3.75</v>
      </c>
      <c r="C6" s="8" t="inlineStr">
        <is>
          <t>S/ por USD</t>
        </is>
      </c>
      <c r="D6" s="9" t="inlineStr">
        <is>
          <t>Referencial ago-2026. Ajustar al TC real de tu banco.</t>
        </is>
      </c>
    </row>
    <row r="7">
      <c r="A7" s="6" t="inlineStr">
        <is>
          <t>IGV</t>
        </is>
      </c>
      <c r="B7" s="10" t="n">
        <v>0.18</v>
      </c>
      <c r="C7" s="8" t="inlineStr">
        <is>
          <t>%</t>
        </is>
      </c>
      <c r="D7" s="9" t="inlineStr">
        <is>
          <t>Impuesto General a las Ventas (Perú).</t>
        </is>
      </c>
    </row>
    <row r="8">
      <c r="A8" s="6" t="inlineStr">
        <is>
          <t>¿El precio de lista INCLUYE IGV? (1=Sí / 0=No)</t>
        </is>
      </c>
      <c r="B8" s="11" t="n">
        <v>1</v>
      </c>
      <c r="C8" s="8" t="inlineStr">
        <is>
          <t>1 ó 0</t>
        </is>
      </c>
      <c r="D8" s="9" t="inlineStr">
        <is>
          <t>Si emites factura y el precio es final al cliente → 1.</t>
        </is>
      </c>
    </row>
    <row r="9">
      <c r="A9" s="4" t="inlineStr">
        <is>
          <t>Pasarela de pago (Culqi Online)</t>
        </is>
      </c>
      <c r="B9" s="5" t="n"/>
      <c r="C9" s="5" t="n"/>
      <c r="D9" s="5" t="n"/>
    </row>
    <row r="10">
      <c r="A10" s="6" t="inlineStr">
        <is>
          <t>Comisión Culqi — variable</t>
        </is>
      </c>
      <c r="B10" s="10" t="n">
        <v>0.042</v>
      </c>
      <c r="C10" s="8" t="inlineStr">
        <is>
          <t>%</t>
        </is>
      </c>
      <c r="D10" s="9" t="inlineStr">
        <is>
          <t>4.20% tarjeta nacional (CulqiOnline / e-commerce).</t>
        </is>
      </c>
    </row>
    <row r="11">
      <c r="A11" s="6" t="inlineStr">
        <is>
          <t>Comisión Culqi — fija</t>
        </is>
      </c>
      <c r="B11" s="12" t="n">
        <v>0.3</v>
      </c>
      <c r="C11" s="8" t="inlineStr">
        <is>
          <t>USD</t>
        </is>
      </c>
      <c r="D11" s="9" t="inlineStr">
        <is>
          <t>USD 0.30 por transacción.</t>
        </is>
      </c>
    </row>
    <row r="12">
      <c r="A12" s="6" t="inlineStr">
        <is>
          <t>IGV sobre la comisión Culqi</t>
        </is>
      </c>
      <c r="B12" s="10" t="n">
        <v>0.18</v>
      </c>
      <c r="C12" s="8" t="inlineStr">
        <is>
          <t>%</t>
        </is>
      </c>
      <c r="D12" s="9" t="inlineStr">
        <is>
          <t>La comisión de la pasarela también paga IGV.</t>
        </is>
      </c>
    </row>
    <row r="13">
      <c r="A13" s="4" t="inlineStr">
        <is>
          <t>Precios de lista (hoy)</t>
        </is>
      </c>
      <c r="B13" s="5" t="n"/>
      <c r="C13" s="5" t="n"/>
      <c r="D13" s="5" t="n"/>
    </row>
    <row r="14">
      <c r="A14" s="6" t="inlineStr">
        <is>
          <t>Plan Básico</t>
        </is>
      </c>
      <c r="B14" s="7" t="n">
        <v>49</v>
      </c>
      <c r="C14" s="8" t="inlineStr">
        <is>
          <t>S/ /mes</t>
        </is>
      </c>
      <c r="D14" s="9" t="inlineStr">
        <is>
          <t>20 residentes · 1 vigilante (LIMITES_PLAN en el código).</t>
        </is>
      </c>
    </row>
    <row r="15">
      <c r="A15" s="6" t="inlineStr">
        <is>
          <t>Plan Estándar</t>
        </is>
      </c>
      <c r="B15" s="7" t="n">
        <v>89</v>
      </c>
      <c r="C15" s="8" t="inlineStr">
        <is>
          <t>S/ /mes</t>
        </is>
      </c>
      <c r="D15" s="9" t="inlineStr">
        <is>
          <t>50 residentes · 3 vigilantes.</t>
        </is>
      </c>
    </row>
    <row r="16">
      <c r="A16" s="6" t="inlineStr">
        <is>
          <t>Plan Premium</t>
        </is>
      </c>
      <c r="B16" s="7" t="n">
        <v>149</v>
      </c>
      <c r="C16" s="8" t="inlineStr">
        <is>
          <t>S/ /mes</t>
        </is>
      </c>
      <c r="D16" s="9" t="inlineStr">
        <is>
          <t>Residentes y vigilantes ilimitados.</t>
        </is>
      </c>
    </row>
    <row r="17">
      <c r="A17" s="4" t="inlineStr">
        <is>
          <t>Perfil de uso de un cliente típico</t>
        </is>
      </c>
      <c r="B17" s="5" t="n"/>
      <c r="C17" s="5" t="n"/>
      <c r="D17" s="5" t="n"/>
    </row>
    <row r="18">
      <c r="A18" s="6" t="inlineStr">
        <is>
          <t>Residentes por condominio (promedio)</t>
        </is>
      </c>
      <c r="B18" s="11" t="n">
        <v>30</v>
      </c>
      <c r="C18" s="8" t="inlineStr">
        <is>
          <t>usuarios</t>
        </is>
      </c>
      <c r="D18" s="9" t="inlineStr">
        <is>
          <t>Ajustar según tu cartera real.</t>
        </is>
      </c>
    </row>
    <row r="19">
      <c r="A19" s="6" t="inlineStr">
        <is>
          <t>Vigilantes por condominio</t>
        </is>
      </c>
      <c r="B19" s="11" t="n">
        <v>2</v>
      </c>
      <c r="C19" s="8" t="inlineStr">
        <is>
          <t>usuarios</t>
        </is>
      </c>
      <c r="D19" s="9" t="inlineStr">
        <is>
          <t>No generan costo relevante (consultas ligeras).</t>
        </is>
      </c>
    </row>
    <row r="20">
      <c r="A20" s="6" t="inlineStr">
        <is>
          <t>Visitas por residente / mes</t>
        </is>
      </c>
      <c r="B20" s="11" t="n">
        <v>4</v>
      </c>
      <c r="C20" s="8" t="inlineStr">
        <is>
          <t>visitas</t>
        </is>
      </c>
      <c r="D20" s="9" t="inlineStr">
        <is>
          <t>≈ 1 visita por semana.</t>
        </is>
      </c>
    </row>
    <row r="21">
      <c r="A21" s="6" t="inlineStr">
        <is>
          <t>Emails por visita</t>
        </is>
      </c>
      <c r="B21" s="11" t="n">
        <v>2</v>
      </c>
      <c r="C21" s="8" t="inlineStr">
        <is>
          <t>emails</t>
        </is>
      </c>
      <c r="D21" s="9" t="inlineStr">
        <is>
          <t>Notificación de INGRESO + notificación de SALIDA.</t>
        </is>
      </c>
    </row>
    <row r="22">
      <c r="A22" s="6" t="inlineStr">
        <is>
          <t>Costo por email (Resend Pro)</t>
        </is>
      </c>
      <c r="B22" s="13" t="n">
        <v>0.0004</v>
      </c>
      <c r="C22" s="8" t="inlineStr">
        <is>
          <t>USD</t>
        </is>
      </c>
      <c r="D22" s="9" t="inlineStr">
        <is>
          <t>USD 20 / 50.000 emails.</t>
        </is>
      </c>
    </row>
    <row r="23">
      <c r="A23" s="6" t="inlineStr">
        <is>
          <t>Base de residentes para prorratear infra</t>
        </is>
      </c>
      <c r="B23" s="11" t="n">
        <v>10000</v>
      </c>
      <c r="C23" s="8" t="inlineStr">
        <is>
          <t>usuarios</t>
        </is>
      </c>
      <c r="D23" s="9" t="inlineStr">
        <is>
          <t>Escala a la que se reparte el costo fijo.</t>
        </is>
      </c>
    </row>
    <row r="24">
      <c r="A24" s="4" t="inlineStr">
        <is>
          <t>Plan GRATIS (configuración de costo reducido)</t>
        </is>
      </c>
      <c r="B24" s="5" t="n"/>
      <c r="C24" s="5" t="n"/>
      <c r="D24" s="5" t="n"/>
    </row>
    <row r="25">
      <c r="A25" s="6" t="inlineStr">
        <is>
          <t>Residentes del plan gratis</t>
        </is>
      </c>
      <c r="B25" s="11" t="n">
        <v>15</v>
      </c>
      <c r="C25" s="8" t="inlineStr">
        <is>
          <t>usuarios</t>
        </is>
      </c>
      <c r="D25" s="9" t="inlineStr">
        <is>
          <t>Tope del tier gratuito.</t>
        </is>
      </c>
    </row>
    <row r="26">
      <c r="A26" s="6" t="inlineStr">
        <is>
          <t>Visitas por residente gratis / mes</t>
        </is>
      </c>
      <c r="B26" s="11" t="n">
        <v>3</v>
      </c>
      <c r="C26" s="8" t="inlineStr">
        <is>
          <t>visitas</t>
        </is>
      </c>
      <c r="D26" s="9" t="inlineStr">
        <is>
          <t>Menor uso: el gratis es de prueba, no operación plena.</t>
        </is>
      </c>
    </row>
    <row r="27">
      <c r="A27" s="6" t="inlineStr">
        <is>
          <t>Cuentas gratis activas</t>
        </is>
      </c>
      <c r="B27" s="11" t="n">
        <v>100</v>
      </c>
      <c r="C27" s="8" t="inlineStr">
        <is>
          <t>cuentas</t>
        </is>
      </c>
      <c r="D27" s="9" t="inlineStr">
        <is>
          <t>Cuántos condominios tienes hoy en plan gratuito.</t>
        </is>
      </c>
    </row>
    <row r="28">
      <c r="A28" s="6" t="inlineStr">
        <is>
          <t>¿El plan gratis envía emails? (1=Sí / 0=No)</t>
        </is>
      </c>
      <c r="B28" s="11" t="n">
        <v>0</v>
      </c>
      <c r="C28" s="8" t="inlineStr">
        <is>
          <t>1 ó 0</t>
        </is>
      </c>
      <c r="D28" s="9" t="inlineStr">
        <is>
          <t>0 = se apaga el ÚNICO costo variable real. Es el gate correcto.</t>
        </is>
      </c>
    </row>
    <row r="29">
      <c r="A29" s="4" t="inlineStr">
        <is>
          <t>Monetización del tier gratis</t>
        </is>
      </c>
      <c r="B29" s="5" t="n"/>
      <c r="C29" s="5" t="n"/>
      <c r="D29" s="5" t="n"/>
    </row>
    <row r="30">
      <c r="A30" s="6" t="inlineStr">
        <is>
          <t>Patrocinio local — precio por espacio</t>
        </is>
      </c>
      <c r="B30" s="7" t="n">
        <v>80</v>
      </c>
      <c r="C30" s="8" t="inlineStr">
        <is>
          <t>S/ /mes</t>
        </is>
      </c>
      <c r="D30" s="9" t="inlineStr">
        <is>
          <t>Inmobiliaria, gimnasio o ferretería de la zona. Venta directa tuya.</t>
        </is>
      </c>
    </row>
    <row r="31">
      <c r="A31" s="6" t="inlineStr">
        <is>
          <t>Patrocinadores activos</t>
        </is>
      </c>
      <c r="B31" s="11" t="n">
        <v>0</v>
      </c>
      <c r="C31" s="8" t="inlineStr">
        <is>
          <t>patrocinadores</t>
        </is>
      </c>
      <c r="D31" s="9" t="inlineStr">
        <is>
          <t>0 = DESCARTADO. El tier gratis cuesta céntimos, no necesita financiarse.</t>
        </is>
      </c>
    </row>
    <row r="32">
      <c r="A32" s="6" t="inlineStr">
        <is>
          <t>CPM ad network (banner)</t>
        </is>
      </c>
      <c r="B32" s="12" t="n">
        <v>0.5</v>
      </c>
      <c r="C32" s="8" t="inlineStr">
        <is>
          <t>USD</t>
        </is>
      </c>
      <c r="D32" s="9" t="inlineStr">
        <is>
          <t>Referencia para comparar. Rango real Perú 0.30 – 1.00.</t>
        </is>
      </c>
    </row>
    <row r="33">
      <c r="A33" s="6" t="inlineStr">
        <is>
          <t>CPM video rewarded</t>
        </is>
      </c>
      <c r="B33" s="12" t="n">
        <v>3</v>
      </c>
      <c r="C33" s="8" t="inlineStr">
        <is>
          <t>USD</t>
        </is>
      </c>
      <c r="D33" s="9" t="inlineStr">
        <is>
          <t>Referencia. Requiere app nativa (AdMob): Gatekeeper es web/PWA.</t>
        </is>
      </c>
    </row>
    <row r="34">
      <c r="A34" s="6" t="inlineStr">
        <is>
          <t>Impresiones por residente / mes</t>
        </is>
      </c>
      <c r="B34" s="11" t="n">
        <v>12</v>
      </c>
      <c r="C34" s="8" t="inlineStr">
        <is>
          <t>impresiones</t>
        </is>
      </c>
      <c r="D34" s="9" t="inlineStr">
        <is>
          <t>≈ 4 sesiones × 3 vistas. La app se usa poco y rápido.</t>
        </is>
      </c>
    </row>
    <row r="35">
      <c r="A35" s="4" t="inlineStr">
        <is>
          <t>Costos de operación del negocio</t>
        </is>
      </c>
      <c r="B35" s="5" t="n"/>
      <c r="C35" s="5" t="n"/>
      <c r="D35" s="5" t="n"/>
    </row>
    <row r="36">
      <c r="A36" s="6" t="inlineStr">
        <is>
          <t>Soporte por cliente</t>
        </is>
      </c>
      <c r="B36" s="11" t="n">
        <v>0</v>
      </c>
      <c r="C36" s="8" t="inlineStr">
        <is>
          <t>min/mes</t>
        </is>
      </c>
      <c r="D36" s="9" t="inlineStr">
        <is>
          <t>0 = lo das tú y no lo cobras. NO es desembolso: no entra al equilibrio de caja.</t>
        </is>
      </c>
    </row>
    <row r="37">
      <c r="A37" s="6" t="inlineStr">
        <is>
          <t>Valor de tu hora</t>
        </is>
      </c>
      <c r="B37" s="7" t="n">
        <v>0</v>
      </c>
      <c r="C37" s="8" t="inlineStr">
        <is>
          <t>S/ /hora</t>
        </is>
      </c>
      <c r="D37" s="9" t="inlineStr">
        <is>
          <t>Solo para valorar tu tiempo si algun dia lo delegas. Hoy en 0.</t>
        </is>
      </c>
    </row>
    <row r="38">
      <c r="A38" s="6" t="inlineStr">
        <is>
          <t>Sueldo fundador objetivo</t>
        </is>
      </c>
      <c r="B38" s="7" t="n">
        <v>500</v>
      </c>
      <c r="C38" s="8" t="inlineStr">
        <is>
          <t>S/ /mes</t>
        </is>
      </c>
      <c r="D38" s="9" t="inlineStr">
        <is>
          <t>Lo que necesitas retirar del negocio. Es TU decision, es el mayor costo fijo.</t>
        </is>
      </c>
    </row>
    <row r="39">
      <c r="A39" s="6" t="inlineStr">
        <is>
          <t>Marketing pagado mensual</t>
        </is>
      </c>
      <c r="B39" s="7" t="n">
        <v>300</v>
      </c>
      <c r="C39" s="8" t="inlineStr">
        <is>
          <t>S/ /mes</t>
        </is>
      </c>
      <c r="D39" s="9" t="inlineStr">
        <is>
          <t>Limitado a propósito: el canal principal es el tier gratis, no la pauta.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6" customWidth="1" min="3" max="3"/>
    <col width="16" customWidth="1" min="4" max="4"/>
    <col width="14" customWidth="1" min="5" max="5"/>
    <col width="58" customWidth="1" min="6" max="6"/>
  </cols>
  <sheetData>
    <row r="1">
      <c r="A1" s="1" t="inlineStr">
        <is>
          <t>Costos fijos de infraestructura</t>
        </is>
      </c>
    </row>
    <row r="2">
      <c r="A2" s="2" t="inlineStr">
        <is>
          <t>Lo que cuesta tener la plataforma encendida, independiente de cuántos clientes tengas.</t>
        </is>
      </c>
    </row>
    <row r="4" ht="28" customHeight="1">
      <c r="A4" s="3" t="inlineStr">
        <is>
          <t>Servicio</t>
        </is>
      </c>
      <c r="B4" s="3" t="inlineStr">
        <is>
          <t>Plan</t>
        </is>
      </c>
      <c r="C4" s="3" t="inlineStr">
        <is>
          <t>USD / mes</t>
        </is>
      </c>
      <c r="D4" s="3" t="inlineStr">
        <is>
          <t>S/ / mes</t>
        </is>
      </c>
      <c r="E4" s="3" t="inlineStr">
        <is>
          <t>¿Obligatorio?</t>
        </is>
      </c>
      <c r="F4" s="3" t="inlineStr">
        <is>
          <t>Nota</t>
        </is>
      </c>
    </row>
    <row r="5">
      <c r="A5" s="6" t="inlineStr">
        <is>
          <t>Vercel</t>
        </is>
      </c>
      <c r="B5" s="6" t="inlineStr">
        <is>
          <t>Pro</t>
        </is>
      </c>
      <c r="C5" s="14" t="n">
        <v>20</v>
      </c>
      <c r="D5" s="15">
        <f>C5*'1. Supuestos'!$B$6</f>
        <v/>
      </c>
      <c r="E5" s="16" t="inlineStr">
        <is>
          <t>Sí</t>
        </is>
      </c>
      <c r="F5" s="9" t="inlineStr">
        <is>
          <t>CRÍTICO: el plan Hobby PROHÍBE uso comercial y Gatekeeper ya cobra suscripciones.</t>
        </is>
      </c>
    </row>
    <row r="6">
      <c r="A6" s="6" t="inlineStr">
        <is>
          <t>Neon (PostgreSQL)</t>
        </is>
      </c>
      <c r="B6" s="6" t="inlineStr">
        <is>
          <t>Launch</t>
        </is>
      </c>
      <c r="C6" s="14" t="n">
        <v>19</v>
      </c>
      <c r="D6" s="15">
        <f>C6*'1. Supuestos'!$B$6</f>
        <v/>
      </c>
      <c r="E6" s="16" t="inlineStr">
        <is>
          <t>Sí</t>
        </is>
      </c>
      <c r="F6" s="9" t="inlineStr">
        <is>
          <t>Free ya causó el timeout del cron por autosuspend (30-jun-2026).</t>
        </is>
      </c>
    </row>
    <row r="7">
      <c r="A7" s="6" t="inlineStr">
        <is>
          <t>Resend (emails)</t>
        </is>
      </c>
      <c r="B7" s="6" t="inlineStr">
        <is>
          <t>Free</t>
        </is>
      </c>
      <c r="C7" s="14" t="n">
        <v>0</v>
      </c>
      <c r="D7" s="15">
        <f>C7*'1. Supuestos'!$B$6</f>
        <v/>
      </c>
      <c r="E7" s="16" t="inlineStr">
        <is>
          <t>Aún no</t>
        </is>
      </c>
      <c r="F7" s="9" t="inlineStr">
        <is>
          <t>Free = 3.000 emails/mes: aguanta ~12 clientes pagos. Subir a Pro ($20) recién ahí.</t>
        </is>
      </c>
    </row>
    <row r="8">
      <c r="A8" s="6" t="inlineStr">
        <is>
          <t>Upstash Redis</t>
        </is>
      </c>
      <c r="B8" s="6" t="inlineStr">
        <is>
          <t>Free</t>
        </is>
      </c>
      <c r="C8" s="14" t="n">
        <v>0</v>
      </c>
      <c r="D8" s="15">
        <f>C8*'1. Supuestos'!$B$6</f>
        <v/>
      </c>
      <c r="E8" s="16" t="inlineStr">
        <is>
          <t>Aún no</t>
        </is>
      </c>
      <c r="F8" s="9" t="inlineStr">
        <is>
          <t>Rate limiting usa poquísimos comandos. El cron keepalive evita que la archiven.</t>
        </is>
      </c>
    </row>
    <row r="9">
      <c r="A9" s="6" t="inlineStr">
        <is>
          <t>Sentry</t>
        </is>
      </c>
      <c r="B9" s="6" t="inlineStr">
        <is>
          <t>Free</t>
        </is>
      </c>
      <c r="C9" s="14" t="n">
        <v>0</v>
      </c>
      <c r="D9" s="15">
        <f>C9*'1. Supuestos'!$B$6</f>
        <v/>
      </c>
      <c r="E9" s="16" t="inlineStr">
        <is>
          <t>No</t>
        </is>
      </c>
      <c r="F9" s="9" t="inlineStr">
        <is>
          <t>Free = 5k errores/mes. No lo actives hasta que te quede chico.</t>
        </is>
      </c>
    </row>
    <row r="10">
      <c r="A10" s="6" t="inlineStr">
        <is>
          <t>Dominio + correo</t>
        </is>
      </c>
      <c r="B10" s="6" t="inlineStr">
        <is>
          <t>Cloudflare</t>
        </is>
      </c>
      <c r="C10" s="14" t="n">
        <v>1</v>
      </c>
      <c r="D10" s="15">
        <f>C10*'1. Supuestos'!$B$6</f>
        <v/>
      </c>
      <c r="E10" s="16" t="inlineStr">
        <is>
          <t>Sí</t>
        </is>
      </c>
      <c r="F10" s="9" t="inlineStr">
        <is>
          <t>Dominio anual prorrateado + Email Routing (gratis).</t>
        </is>
      </c>
    </row>
    <row r="11">
      <c r="A11" s="17" t="inlineStr">
        <is>
          <t>TOTAL INFRAESTRUCTURA</t>
        </is>
      </c>
      <c r="B11" s="17" t="n"/>
      <c r="C11" s="18">
        <f>SUM(C5:C10)</f>
        <v/>
      </c>
      <c r="D11" s="19">
        <f>SUM(D5:D10)</f>
        <v/>
      </c>
      <c r="E11" s="17" t="n"/>
      <c r="F11" s="17" t="n"/>
    </row>
    <row r="13">
      <c r="A13" s="20" t="inlineStr">
        <is>
          <t>Situación actual vs. modelo</t>
        </is>
      </c>
    </row>
    <row r="14">
      <c r="A14" s="2" t="inlineStr">
        <is>
          <t>• Hoy pagas ≈ S/ 0 porque todo está en free tier. Eso NO es sostenible ni contractualmente seguro (Vercel Hobby).</t>
        </is>
      </c>
    </row>
    <row r="15">
      <c r="A15" s="2" t="inlineStr">
        <is>
          <t>• Este total es el costo de la plataforma COMPLETA, no por cliente. Con 6 clientes ya está pagada (ver hoja 5).</t>
        </is>
      </c>
    </row>
    <row r="16">
      <c r="A16" s="2" t="inlineStr">
        <is>
          <t>• La arquitectura es multi-tenant sobre UNA sola base de datos → el costo NO se multiplica por cada condominio nuevo.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22" customWidth="1" min="4" max="4"/>
    <col width="22" customWidth="1" min="5" max="5"/>
    <col width="46" customWidth="1" min="6" max="6"/>
  </cols>
  <sheetData>
    <row r="1">
      <c r="A1" s="1" t="inlineStr">
        <is>
          <t>Costo real por usuario y por cliente</t>
        </is>
      </c>
    </row>
    <row r="2">
      <c r="A2" s="2" t="inlineStr">
        <is>
          <t>Costo marginal: lo que te cuesta de verdad sumar un residente más a la plataforma.</t>
        </is>
      </c>
    </row>
    <row r="4">
      <c r="A4" s="20" t="inlineStr">
        <is>
          <t>A) COSTO MARGINAL POR RESIDENTE / MES — usuario de pago vs. usuario gratis</t>
        </is>
      </c>
    </row>
    <row r="5" ht="28" customHeight="1">
      <c r="A5" s="3" t="inlineStr">
        <is>
          <t>Concepto</t>
        </is>
      </c>
      <c r="B5" s="3" t="inlineStr">
        <is>
          <t>Usuario PAGO (S/)</t>
        </is>
      </c>
      <c r="C5" s="3" t="inlineStr">
        <is>
          <t>Usuario GRATIS (S/)</t>
        </is>
      </c>
      <c r="D5" s="3" t="inlineStr">
        <is>
          <t>Cómo se calcula</t>
        </is>
      </c>
    </row>
    <row r="6">
      <c r="A6" s="6" t="inlineStr">
        <is>
          <t>Emails de notificación (ingreso + salida)</t>
        </is>
      </c>
      <c r="B6" s="21">
        <f>'1. Supuestos'!$B$20*'1. Supuestos'!$B$21*'1. Supuestos'!$B$22*'1. Supuestos'!$B$6</f>
        <v/>
      </c>
      <c r="C6" s="21">
        <f>'1. Supuestos'!$B$26*'1. Supuestos'!$B$21*'1. Supuestos'!$B$22*'1. Supuestos'!$B$6*'1. Supuestos'!$B$28</f>
        <v/>
      </c>
      <c r="D6" s="9" t="inlineStr">
        <is>
          <t>El gratis NO envía emails → su único costo variable se apaga.</t>
        </is>
      </c>
    </row>
    <row r="7">
      <c r="A7" s="6" t="inlineStr">
        <is>
          <t>Compute + base de datos prorrateado</t>
        </is>
      </c>
      <c r="B7" s="21">
        <f>'2. Infraestructura'!$C$11/'1. Supuestos'!$B$23*'1. Supuestos'!$B$6</f>
        <v/>
      </c>
      <c r="C7" s="21">
        <f>'2. Infraestructura'!$C$11/'1. Supuestos'!$B$23*'1. Supuestos'!$B$6</f>
        <v/>
      </c>
      <c r="D7" s="9" t="inlineStr">
        <is>
          <t>Infraestructura total ÷ base de residentes. Igual para ambos.</t>
        </is>
      </c>
    </row>
    <row r="8">
      <c r="A8" s="17" t="inlineStr">
        <is>
          <t>COSTO MARGINAL POR RESIDENTE / MES</t>
        </is>
      </c>
      <c r="B8" s="22">
        <f>SUM(B6:B7)</f>
        <v/>
      </c>
      <c r="C8" s="22">
        <f>SUM(C6:C7)</f>
        <v/>
      </c>
      <c r="D8" s="23" t="inlineStr">
        <is>
          <t>Apagar los emails baja el costo del usuario gratis ~25%.</t>
        </is>
      </c>
    </row>
    <row r="10">
      <c r="A10" s="20" t="inlineStr">
        <is>
          <t>B) COSTO DE INFRAESTRUCTURA POR CLIENTE (CONDOMINIO)</t>
        </is>
      </c>
    </row>
    <row r="11" ht="28" customHeight="1">
      <c r="A11" s="3" t="inlineStr">
        <is>
          <t>Concepto</t>
        </is>
      </c>
      <c r="B11" s="3" t="inlineStr">
        <is>
          <t>Valor</t>
        </is>
      </c>
      <c r="C11" s="3" t="inlineStr">
        <is>
          <t>Unidad</t>
        </is>
      </c>
      <c r="D11" s="3" t="inlineStr">
        <is>
          <t>Nota</t>
        </is>
      </c>
    </row>
    <row r="12">
      <c r="A12" s="6" t="inlineStr">
        <is>
          <t>Residentes por condominio</t>
        </is>
      </c>
      <c r="B12" s="24">
        <f>'1. Supuestos'!$B$18</f>
        <v/>
      </c>
      <c r="C12" s="16" t="inlineStr">
        <is>
          <t>usuarios</t>
        </is>
      </c>
      <c r="D12" s="9" t="inlineStr">
        <is>
          <t>Supuesto editable en la hoja 1.</t>
        </is>
      </c>
    </row>
    <row r="13">
      <c r="A13" s="6" t="inlineStr">
        <is>
          <t>Costo de infraestructura del cliente</t>
        </is>
      </c>
      <c r="B13" s="25">
        <f>'1. Supuestos'!$B$18*'3. Costo x Usuario'!$B$8</f>
        <v/>
      </c>
      <c r="C13" s="16" t="inlineStr">
        <is>
          <t>S/ /mes</t>
        </is>
      </c>
      <c r="D13" s="9" t="inlineStr">
        <is>
          <t>Residentes × costo marginal.</t>
        </is>
      </c>
    </row>
    <row r="14">
      <c r="A14" s="6" t="inlineStr">
        <is>
          <t>Costo de soporte del cliente</t>
        </is>
      </c>
      <c r="B14" s="25">
        <f>'1. Supuestos'!$B$36/60*'1. Supuestos'!$B$37</f>
        <v/>
      </c>
      <c r="C14" s="16" t="inlineStr">
        <is>
          <t>S/ /mes</t>
        </is>
      </c>
      <c r="D14" s="9" t="inlineStr">
        <is>
          <t>Minutos de atención × valor de tu hora.</t>
        </is>
      </c>
    </row>
    <row r="15">
      <c r="A15" s="6" t="inlineStr">
        <is>
          <t>Comisión Culqi (plan Estándar)</t>
        </is>
      </c>
      <c r="B15" s="25">
        <f>('1. Supuestos'!$B$15*'1. Supuestos'!$B$10+'1. Supuestos'!$B$11*'1. Supuestos'!$B$6)*(1+'1. Supuestos'!$B$12)</f>
        <v/>
      </c>
      <c r="C15" s="16" t="inlineStr">
        <is>
          <t>S/ /mes</t>
        </is>
      </c>
      <c r="D15" s="9" t="inlineStr">
        <is>
          <t>% sobre el cobro + fijo + IGV de la comisión.</t>
        </is>
      </c>
    </row>
    <row r="17">
      <c r="A17" s="20" t="inlineStr">
        <is>
          <t>C) CÓMO ESCALA (la infra NO crece proporcional a los clientes)</t>
        </is>
      </c>
    </row>
    <row r="18" ht="28" customHeight="1">
      <c r="A18" s="3" t="inlineStr">
        <is>
          <t>Escala</t>
        </is>
      </c>
      <c r="B18" s="3" t="inlineStr">
        <is>
          <t>Condominios</t>
        </is>
      </c>
      <c r="C18" s="3" t="inlineStr">
        <is>
          <t>Residentes totales</t>
        </is>
      </c>
      <c r="D18" s="3" t="inlineStr">
        <is>
          <t>Infra S//mes</t>
        </is>
      </c>
      <c r="E18" s="3" t="inlineStr">
        <is>
          <t>Infra por residente</t>
        </is>
      </c>
      <c r="F18" s="3" t="inlineStr">
        <is>
          <t>Nota</t>
        </is>
      </c>
    </row>
    <row r="19">
      <c r="A19" s="6" t="inlineStr">
        <is>
          <t>Hoy (arranque)</t>
        </is>
      </c>
      <c r="B19" s="26" t="n">
        <v>5</v>
      </c>
      <c r="C19" s="27">
        <f>B19*'1. Supuestos'!$B$18</f>
        <v/>
      </c>
      <c r="D19" s="28">
        <f>'2. Infraestructura'!$D$11*1.0</f>
        <v/>
      </c>
      <c r="E19" s="25">
        <f>D19/C19</f>
        <v/>
      </c>
      <c r="F19" s="9" t="inlineStr">
        <is>
          <t>Pagas el fijo completo aunque esté subutilizado.</t>
        </is>
      </c>
    </row>
    <row r="20">
      <c r="A20" s="6" t="inlineStr">
        <is>
          <t>Tracción inicial</t>
        </is>
      </c>
      <c r="B20" s="26" t="n">
        <v>50</v>
      </c>
      <c r="C20" s="27">
        <f>B20*'1. Supuestos'!$B$18</f>
        <v/>
      </c>
      <c r="D20" s="28">
        <f>'2. Infraestructura'!$D$11*1.0</f>
        <v/>
      </c>
      <c r="E20" s="25">
        <f>D20/C20</f>
        <v/>
      </c>
      <c r="F20" s="9" t="inlineStr">
        <is>
          <t>Mismo fijo: la plataforma ni se entera.</t>
        </is>
      </c>
    </row>
    <row r="21">
      <c r="A21" s="6" t="inlineStr">
        <is>
          <t>Consolidado</t>
        </is>
      </c>
      <c r="B21" s="26" t="n">
        <v>200</v>
      </c>
      <c r="C21" s="27">
        <f>B21*'1. Supuestos'!$B$18</f>
        <v/>
      </c>
      <c r="D21" s="28">
        <f>'2. Infraestructura'!$D$11*1.9</f>
        <v/>
      </c>
      <c r="E21" s="25">
        <f>D21/C21</f>
        <v/>
      </c>
      <c r="F21" s="9" t="inlineStr">
        <is>
          <t>Sube Neon (más compute) y Resend (más emails).</t>
        </is>
      </c>
    </row>
    <row r="22">
      <c r="A22" s="6" t="inlineStr">
        <is>
          <t>Escala</t>
        </is>
      </c>
      <c r="B22" s="26" t="n">
        <v>1000</v>
      </c>
      <c r="C22" s="27">
        <f>B22*'1. Supuestos'!$B$18</f>
        <v/>
      </c>
      <c r="D22" s="28">
        <f>'2. Infraestructura'!$D$11*7.0</f>
        <v/>
      </c>
      <c r="E22" s="25">
        <f>D22/C22</f>
        <v/>
      </c>
      <c r="F22" s="9" t="inlineStr">
        <is>
          <t>Ya necesitas tier superior en BD y emails.</t>
        </is>
      </c>
    </row>
    <row r="24">
      <c r="A24" s="2" t="inlineStr">
        <is>
          <t>• Multiplicar los clientes por 40 (de 5 a 200) solo multiplica la infraestructura por ~2.</t>
        </is>
      </c>
    </row>
    <row r="25">
      <c r="A25" s="2" t="inlineStr">
        <is>
          <t>• La columna 'Infra por residente' se DERRUMBA al crecer: ese es el apalancamiento del SaaS.</t>
        </is>
      </c>
    </row>
    <row r="26">
      <c r="A26" s="2" t="inlineStr">
        <is>
          <t>• Tu costo dominante NO es el servidor: es la comisión de Culqi y tu tiempo de soporte.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6" customWidth="1" min="4" max="4"/>
    <col width="56" customWidth="1" min="5" max="5"/>
  </cols>
  <sheetData>
    <row r="1">
      <c r="A1" s="1" t="inlineStr">
        <is>
          <t>Unit economics — cuánto te queda de cada cliente</t>
        </is>
      </c>
    </row>
    <row r="2">
      <c r="A2" s="2" t="inlineStr">
        <is>
          <t>De S/ 89 de lista, lo que realmente entra al negocio.</t>
        </is>
      </c>
    </row>
    <row r="4" ht="28" customHeight="1">
      <c r="A4" s="3" t="inlineStr">
        <is>
          <t>Concepto</t>
        </is>
      </c>
      <c r="B4" s="3" t="inlineStr">
        <is>
          <t>Básico</t>
        </is>
      </c>
      <c r="C4" s="3" t="inlineStr">
        <is>
          <t>Estándar</t>
        </is>
      </c>
      <c r="D4" s="3" t="inlineStr">
        <is>
          <t>Premium</t>
        </is>
      </c>
      <c r="E4" s="3" t="inlineStr">
        <is>
          <t>Nota</t>
        </is>
      </c>
    </row>
    <row r="5">
      <c r="A5" s="6" t="inlineStr">
        <is>
          <t>Precio de lista</t>
        </is>
      </c>
      <c r="B5" s="21">
        <f>'1. Supuestos'!$B$14</f>
        <v/>
      </c>
      <c r="C5" s="21">
        <f>'1. Supuestos'!$B$15</f>
        <v/>
      </c>
      <c r="D5" s="21">
        <f>'1. Supuestos'!$B$16</f>
        <v/>
      </c>
      <c r="E5" s="9" t="inlineStr">
        <is>
          <t>Precio publicado en la landing.</t>
        </is>
      </c>
    </row>
    <row r="6">
      <c r="A6" s="6" t="inlineStr">
        <is>
          <t>(–) IGV incluido en el precio</t>
        </is>
      </c>
      <c r="B6" s="21">
        <f>IF('1. Supuestos'!$B$8=1,B5-B5/(1+'1. Supuestos'!$B$7),0)</f>
        <v/>
      </c>
      <c r="C6" s="21">
        <f>IF('1. Supuestos'!$B$8=1,C5-C5/(1+'1. Supuestos'!$B$7),0)</f>
        <v/>
      </c>
      <c r="D6" s="21">
        <f>IF('1. Supuestos'!$B$8=1,D5-D5/(1+'1. Supuestos'!$B$7),0)</f>
        <v/>
      </c>
      <c r="E6" s="9" t="inlineStr">
        <is>
          <t>Si el precio incluye IGV, esto NO es tuyo: va a SUNAT.</t>
        </is>
      </c>
    </row>
    <row r="7">
      <c r="A7" s="6" t="inlineStr">
        <is>
          <t>(=) Ingreso neto</t>
        </is>
      </c>
      <c r="B7" s="21">
        <f>B5-B6</f>
        <v/>
      </c>
      <c r="C7" s="21">
        <f>C5-C6</f>
        <v/>
      </c>
      <c r="D7" s="21">
        <f>D5-D6</f>
        <v/>
      </c>
      <c r="E7" s="9" t="inlineStr">
        <is>
          <t>Lo que efectivamente factura el negocio.</t>
        </is>
      </c>
    </row>
    <row r="8">
      <c r="A8" s="6" t="inlineStr">
        <is>
          <t>(–) Comisión Culqi</t>
        </is>
      </c>
      <c r="B8" s="21">
        <f>(B5*'1. Supuestos'!$B$10+'1. Supuestos'!$B$11*'1. Supuestos'!$B$6)*(1+'1. Supuestos'!$B$12)</f>
        <v/>
      </c>
      <c r="C8" s="21">
        <f>(C5*'1. Supuestos'!$B$10+'1. Supuestos'!$B$11*'1. Supuestos'!$B$6)*(1+'1. Supuestos'!$B$12)</f>
        <v/>
      </c>
      <c r="D8" s="21">
        <f>(D5*'1. Supuestos'!$B$10+'1. Supuestos'!$B$11*'1. Supuestos'!$B$6)*(1+'1. Supuestos'!$B$12)</f>
        <v/>
      </c>
      <c r="E8" s="9" t="inlineStr">
        <is>
          <t>4.20% + USD 0.30, más IGV sobre la comisión.</t>
        </is>
      </c>
    </row>
    <row r="9">
      <c r="A9" s="6" t="inlineStr">
        <is>
          <t>(–) Infraestructura del cliente</t>
        </is>
      </c>
      <c r="B9" s="21">
        <f>'3. Costo x Usuario'!$B$13</f>
        <v/>
      </c>
      <c r="C9" s="21">
        <f>'3. Costo x Usuario'!$B$13</f>
        <v/>
      </c>
      <c r="D9" s="21">
        <f>'3. Costo x Usuario'!$B$13</f>
        <v/>
      </c>
      <c r="E9" s="9" t="inlineStr">
        <is>
          <t>Residentes × costo marginal.</t>
        </is>
      </c>
    </row>
    <row r="10">
      <c r="A10" s="6" t="inlineStr">
        <is>
          <t>(–) Soporte del cliente (imputado)</t>
        </is>
      </c>
      <c r="B10" s="21">
        <f>'3. Costo x Usuario'!$B$14</f>
        <v/>
      </c>
      <c r="C10" s="21">
        <f>'3. Costo x Usuario'!$B$14</f>
        <v/>
      </c>
      <c r="D10" s="21">
        <f>'3. Costo x Usuario'!$B$14</f>
        <v/>
      </c>
      <c r="E10" s="9" t="inlineStr">
        <is>
          <t>Tu tiempo. En 0 porque lo das tú: NO sale del banco.</t>
        </is>
      </c>
    </row>
    <row r="11">
      <c r="A11" s="17" t="inlineStr">
        <is>
          <t>(=) CONTRIBUCIÓN POR CLIENTE / MES</t>
        </is>
      </c>
      <c r="B11" s="22">
        <f>B7-B8-B9-B10</f>
        <v/>
      </c>
      <c r="C11" s="22">
        <f>C7-C8-C9-C10</f>
        <v/>
      </c>
      <c r="D11" s="22">
        <f>D7-D8-D9-D10</f>
        <v/>
      </c>
      <c r="E11" s="9" t="inlineStr">
        <is>
          <t>Lo que aporta cada cliente a cubrir tus costos fijos.</t>
        </is>
      </c>
    </row>
    <row r="12">
      <c r="A12" s="6" t="inlineStr">
        <is>
          <t>Margen de contribución %</t>
        </is>
      </c>
      <c r="B12" s="29">
        <f>B11/B5</f>
        <v/>
      </c>
      <c r="C12" s="29">
        <f>C11/C5</f>
        <v/>
      </c>
      <c r="D12" s="29">
        <f>D11/D5</f>
        <v/>
      </c>
      <c r="E12" s="9" t="inlineStr">
        <is>
          <t>Contribución ÷ precio de lista.</t>
        </is>
      </c>
    </row>
    <row r="14">
      <c r="A14" s="20" t="inlineStr">
        <is>
          <t>Dato clave</t>
        </is>
      </c>
    </row>
    <row r="15">
      <c r="A15" s="30" t="inlineStr">
        <is>
          <t>La comisión de Culqi por UN cobro cuesta más que toda la infraestructura de ese cliente durante el mes.</t>
        </is>
      </c>
    </row>
    <row r="16">
      <c r="A16" s="2" t="inlineStr">
        <is>
          <t>Si negocias una comisión menor o cobras anual (1 cobro en vez de 12), recuperas margen directo.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7" customWidth="1" min="2" max="2"/>
    <col width="15" customWidth="1" min="3" max="3"/>
    <col width="15" customWidth="1" min="4" max="4"/>
    <col width="15" customWidth="1" min="5" max="5"/>
    <col width="15" customWidth="1" min="6" max="6"/>
    <col width="42" customWidth="1" min="7" max="7"/>
  </cols>
  <sheetData>
    <row r="1">
      <c r="A1" s="1" t="inlineStr">
        <is>
          <t>Punto de equilibrio</t>
        </is>
      </c>
    </row>
    <row r="2">
      <c r="A2" s="2" t="inlineStr">
        <is>
          <t>Cuántos clientes pagos necesitas para no perder dinero, según qué quieras cubrir.</t>
        </is>
      </c>
    </row>
    <row r="4" ht="28" customHeight="1">
      <c r="A4" s="3" t="inlineStr">
        <is>
          <t>Escenario</t>
        </is>
      </c>
      <c r="B4" s="3" t="inlineStr">
        <is>
          <t>Costos fijos S//mes</t>
        </is>
      </c>
      <c r="C4" s="3" t="inlineStr">
        <is>
          <t>(–) Patrocinios</t>
        </is>
      </c>
      <c r="D4" s="3" t="inlineStr">
        <is>
          <t>Neto a cubrir</t>
        </is>
      </c>
      <c r="E4" s="3" t="inlineStr">
        <is>
          <t>Contribución x cliente</t>
        </is>
      </c>
      <c r="F4" s="3" t="inlineStr">
        <is>
          <t>CLIENTES</t>
        </is>
      </c>
      <c r="G4" s="3" t="inlineStr">
        <is>
          <t>Qué significa</t>
        </is>
      </c>
    </row>
    <row r="5">
      <c r="A5" s="31" t="inlineStr">
        <is>
          <t>A) Solo mantener la plataforma</t>
        </is>
      </c>
      <c r="B5" s="28">
        <f>'2. Infraestructura'!$D$11</f>
        <v/>
      </c>
      <c r="C5" s="28">
        <f>'1. Supuestos'!$B$30*'1. Supuestos'!$B$31</f>
        <v/>
      </c>
      <c r="D5" s="32">
        <f>MAX(0,B5-C5)</f>
        <v/>
      </c>
      <c r="E5" s="21">
        <f>'4. Margen x Cliente'!$C$11</f>
        <v/>
      </c>
      <c r="F5" s="33">
        <f>ROUNDUP(D5/E5,0)</f>
        <v/>
      </c>
      <c r="G5" s="9" t="inlineStr">
        <is>
          <t>Cubres servidores. No te pagas nada. Mínimo para no perder plata.</t>
        </is>
      </c>
    </row>
    <row r="6">
      <c r="A6" s="31" t="inlineStr">
        <is>
          <t>B) Plataforma + tu sueldo</t>
        </is>
      </c>
      <c r="B6" s="28">
        <f>'2. Infraestructura'!$D$11+'1. Supuestos'!$B$38</f>
        <v/>
      </c>
      <c r="C6" s="28">
        <f>'1. Supuestos'!$B$30*'1. Supuestos'!$B$31</f>
        <v/>
      </c>
      <c r="D6" s="32">
        <f>MAX(0,B6-C6)</f>
        <v/>
      </c>
      <c r="E6" s="21">
        <f>'4. Margen x Cliente'!$C$11</f>
        <v/>
      </c>
      <c r="F6" s="33">
        <f>ROUNDUP(D6/E6,0)</f>
        <v/>
      </c>
      <c r="G6" s="9" t="inlineStr">
        <is>
          <t>Vives del negocio. Este es el objetivo real de corto plazo.</t>
        </is>
      </c>
    </row>
    <row r="7">
      <c r="A7" s="31" t="inlineStr">
        <is>
          <t>C) Plataforma + sueldo + marketing limitado</t>
        </is>
      </c>
      <c r="B7" s="28">
        <f>'2. Infraestructura'!$D$11+'1. Supuestos'!$B$38+'1. Supuestos'!$B$39</f>
        <v/>
      </c>
      <c r="C7" s="28">
        <f>'1. Supuestos'!$B$30*'1. Supuestos'!$B$31</f>
        <v/>
      </c>
      <c r="D7" s="32">
        <f>MAX(0,B7-C7)</f>
        <v/>
      </c>
      <c r="E7" s="21">
        <f>'4. Margen x Cliente'!$C$11</f>
        <v/>
      </c>
      <c r="F7" s="33">
        <f>ROUNDUP(D7/E7,0)</f>
        <v/>
      </c>
      <c r="G7" s="9" t="inlineStr">
        <is>
          <t>Pauta acotada: el canal principal es el tier gratis, no el gasto.</t>
        </is>
      </c>
    </row>
    <row r="9">
      <c r="A9" s="20" t="inlineStr">
        <is>
          <t>Sensibilidad: ¿y si vendes otro plan?</t>
        </is>
      </c>
    </row>
    <row r="10" ht="28" customHeight="1">
      <c r="A10" s="3" t="inlineStr">
        <is>
          <t>Plan</t>
        </is>
      </c>
      <c r="B10" s="3" t="inlineStr">
        <is>
          <t>Precio</t>
        </is>
      </c>
      <c r="C10" s="3" t="inlineStr">
        <is>
          <t>Contribución</t>
        </is>
      </c>
      <c r="D10" s="3" t="inlineStr">
        <is>
          <t>Clientes para escenario B</t>
        </is>
      </c>
      <c r="E10" s="3" t="inlineStr">
        <is>
          <t>Facturación</t>
        </is>
      </c>
      <c r="F10" s="3" t="inlineStr"/>
      <c r="G10" s="3" t="inlineStr"/>
    </row>
    <row r="11">
      <c r="A11" s="6" t="inlineStr">
        <is>
          <t>Básico</t>
        </is>
      </c>
      <c r="B11" s="28">
        <f>'1. Supuestos'!$B$14</f>
        <v/>
      </c>
      <c r="C11" s="21">
        <f>'4. Margen x Cliente'!$B$11</f>
        <v/>
      </c>
      <c r="D11" s="24">
        <f>ROUNDUP('5. Punto Equilibrio'!$D$6/C11,0)</f>
        <v/>
      </c>
      <c r="E11" s="28">
        <f>D11*B11</f>
        <v/>
      </c>
    </row>
    <row r="12">
      <c r="A12" s="6" t="inlineStr">
        <is>
          <t>Estándar</t>
        </is>
      </c>
      <c r="B12" s="28">
        <f>'1. Supuestos'!$B$15</f>
        <v/>
      </c>
      <c r="C12" s="21">
        <f>'4. Margen x Cliente'!$C$11</f>
        <v/>
      </c>
      <c r="D12" s="24">
        <f>ROUNDUP('5. Punto Equilibrio'!$D$6/C12,0)</f>
        <v/>
      </c>
      <c r="E12" s="28">
        <f>D12*B12</f>
        <v/>
      </c>
    </row>
    <row r="13">
      <c r="A13" s="6" t="inlineStr">
        <is>
          <t>Premium</t>
        </is>
      </c>
      <c r="B13" s="28">
        <f>'1. Supuestos'!$B$16</f>
        <v/>
      </c>
      <c r="C13" s="21">
        <f>'4. Margen x Cliente'!$D$11</f>
        <v/>
      </c>
      <c r="D13" s="24">
        <f>ROUNDUP('5. Punto Equilibrio'!$D$6/C13,0)</f>
        <v/>
      </c>
      <c r="E13" s="28">
        <f>D13*B13</f>
        <v/>
      </c>
    </row>
    <row r="15">
      <c r="A15" s="20" t="inlineStr">
        <is>
          <t>Lectura del resultado</t>
        </is>
      </c>
    </row>
    <row r="16">
      <c r="A16" s="2" t="inlineStr">
        <is>
          <t>• Los patrocinios locales se restan de los costos fijos: no son un negocio aparte, son un descuento sobre tu estructura.</t>
        </is>
      </c>
    </row>
    <row r="17">
      <c r="A17" s="2" t="inlineStr">
        <is>
          <t>• El salto real es el escenario B: ahí dejas de subsidiar el proyecto con tu tiempo.</t>
        </is>
      </c>
    </row>
    <row r="18">
      <c r="A18" s="2" t="inlineStr">
        <is>
          <t>• Vender Básico en vez de Estándar casi TRIPLICA los clientes que necesitas: el fijo de Culqi (USD 0.30) pesa mucho en tickets bajos.</t>
        </is>
      </c>
    </row>
    <row r="19">
      <c r="A19" s="2" t="inlineStr">
        <is>
          <t>• Por eso conviene empujar Estándar/Premium y no competir por precio en el plan de entrada.</t>
        </is>
      </c>
    </row>
    <row r="20">
      <c r="A20" s="2" t="inlineStr">
        <is>
          <t>• El marketing pagado está limitado a propósito: con un tier gratis funcionando, el producto es el canal.</t>
        </is>
      </c>
    </row>
    <row r="21">
      <c r="A21" s="2" t="inlineStr">
        <is>
          <t>• Este es el equilibrio DE CAJA: solo cuenta lo que sale del banco (infra + Culqi + tu sueldo). Tu soporte no se cobra.</t>
        </is>
      </c>
    </row>
    <row r="22">
      <c r="A22" s="2" t="inlineStr">
        <is>
          <t>• El sueldo es el 77% de tu estructura fija. Es la palanca que mueve el numero, no los servidores.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2" customWidth="1" min="1" max="1"/>
    <col width="18" customWidth="1" min="2" max="2"/>
    <col width="18" customWidth="1" min="3" max="3"/>
    <col width="18" customWidth="1" min="4" max="4"/>
    <col width="58" customWidth="1" min="5" max="5"/>
  </cols>
  <sheetData>
    <row r="1">
      <c r="A1" s="1" t="inlineStr">
        <is>
          <t>Cómo se paga el plan gratis</t>
        </is>
      </c>
    </row>
    <row r="2">
      <c r="A2" s="2" t="inlineStr">
        <is>
          <t>El tier gratis es un canal de adquisición. La pregunta es qué cubre su costo sin dañar el producto.</t>
        </is>
      </c>
    </row>
    <row r="4">
      <c r="A4" s="20" t="inlineStr">
        <is>
          <t>A) CUÁNTO CUESTA REALMENTE UN CONDOMINIO EN PLAN GRATIS</t>
        </is>
      </c>
    </row>
    <row r="5" ht="28" customHeight="1">
      <c r="A5" s="3" t="inlineStr">
        <is>
          <t>Concepto</t>
        </is>
      </c>
      <c r="B5" s="3" t="inlineStr">
        <is>
          <t>Valor</t>
        </is>
      </c>
      <c r="C5" s="3" t="inlineStr">
        <is>
          <t>Unidad</t>
        </is>
      </c>
      <c r="D5" s="3" t="inlineStr"/>
      <c r="E5" s="3" t="inlineStr">
        <is>
          <t>Cómo se calcula</t>
        </is>
      </c>
    </row>
    <row r="6">
      <c r="A6" s="6" t="inlineStr">
        <is>
          <t>Residentes por cuenta gratis</t>
        </is>
      </c>
      <c r="B6" s="27">
        <f>'1. Supuestos'!$B$25</f>
        <v/>
      </c>
      <c r="C6" s="16" t="inlineStr">
        <is>
          <t>usuarios</t>
        </is>
      </c>
      <c r="D6" s="34" t="n"/>
      <c r="E6" s="9" t="inlineStr">
        <is>
          <t>Tope del plan gratuito.</t>
        </is>
      </c>
    </row>
    <row r="7">
      <c r="A7" s="6" t="inlineStr">
        <is>
          <t>Costo marginal por residente gratis</t>
        </is>
      </c>
      <c r="B7" s="21">
        <f>'3. Costo x Usuario'!$C$8</f>
        <v/>
      </c>
      <c r="C7" s="16" t="inlineStr">
        <is>
          <t>S/ /mes</t>
        </is>
      </c>
      <c r="D7" s="34" t="n"/>
      <c r="E7" s="9" t="inlineStr">
        <is>
          <t>Sin emails: solo compute + base de datos.</t>
        </is>
      </c>
    </row>
    <row r="8">
      <c r="A8" s="31" t="inlineStr">
        <is>
          <t>COSTO TOTAL DE UNA CUENTA GRATIS</t>
        </is>
      </c>
      <c r="B8" s="22">
        <f>'1. Supuestos'!$B$25*'3. Costo x Usuario'!$C$8</f>
        <v/>
      </c>
      <c r="C8" s="16" t="inlineStr">
        <is>
          <t>S/ /mes</t>
        </is>
      </c>
      <c r="D8" s="34" t="n"/>
      <c r="E8" s="9" t="inlineStr">
        <is>
          <t>Lo que te cuesta regalar el producto a un condominio entero.</t>
        </is>
      </c>
    </row>
    <row r="9">
      <c r="A9" s="31" t="inlineStr">
        <is>
          <t>Cuentas gratis que financia 1 patrocinador local</t>
        </is>
      </c>
      <c r="B9" s="33">
        <f>ROUNDDOWN('1. Supuestos'!$B$30/('1. Supuestos'!$B$25*'3. Costo x Usuario'!$C$8),0)</f>
        <v/>
      </c>
      <c r="C9" s="16" t="inlineStr">
        <is>
          <t>cuentas</t>
        </is>
      </c>
      <c r="D9" s="34" t="n"/>
      <c r="E9" s="9" t="inlineStr">
        <is>
          <t>Patrocinio ÷ costo de una cuenta gratis.</t>
        </is>
      </c>
    </row>
    <row r="11">
      <c r="A11" s="20" t="inlineStr">
        <is>
          <t>B) LAS TRES VÍAS PARA MONETIZAR EL GRATIS — comparación directa</t>
        </is>
      </c>
    </row>
    <row r="12" ht="28" customHeight="1">
      <c r="A12" s="3" t="inlineStr">
        <is>
          <t>Vía</t>
        </is>
      </c>
      <c r="B12" s="3" t="inlineStr">
        <is>
          <t>Ingreso S//mes</t>
        </is>
      </c>
      <c r="C12" s="3" t="inlineStr">
        <is>
          <t>¿Cubre el costo?</t>
        </is>
      </c>
      <c r="D12" s="3" t="inlineStr">
        <is>
          <t>Veredicto</t>
        </is>
      </c>
      <c r="E12" s="3" t="inlineStr">
        <is>
          <t>Por qué</t>
        </is>
      </c>
    </row>
    <row r="13">
      <c r="A13" s="6" t="inlineStr">
        <is>
          <t>1. Banner de ad network (AdSense)</t>
        </is>
      </c>
      <c r="B13" s="21">
        <f>'1. Supuestos'!$B$34/1000*'1. Supuestos'!$B$32*'1. Supuestos'!$B$6*'1. Supuestos'!$B$25</f>
        <v/>
      </c>
      <c r="C13" s="35">
        <f>IF(B13&gt;='6. Tier Gratis'!$B$8,"SÍ","NO")</f>
        <v/>
      </c>
      <c r="D13" s="36" t="inlineStr">
        <is>
          <t>DESCARTADO</t>
        </is>
      </c>
      <c r="E13" s="9" t="inlineStr">
        <is>
          <t>Ni siquiera paga el hosting. Además abre el CSP y mete scripts de terceros junto a DNI y placas.</t>
        </is>
      </c>
    </row>
    <row r="14">
      <c r="A14" s="6" t="inlineStr">
        <is>
          <t>2. Video rewarded (AdMob)</t>
        </is>
      </c>
      <c r="B14" s="21">
        <f>'1. Supuestos'!$B$34/1000*'1. Supuestos'!$B$33*'1. Supuestos'!$B$6*'1. Supuestos'!$B$25</f>
        <v/>
      </c>
      <c r="C14" s="35">
        <f>IF(B14&gt;='6. Tier Gratis'!$B$8,"SÍ","NO")</f>
        <v/>
      </c>
      <c r="D14" s="36" t="inlineStr">
        <is>
          <t>INVIABLE</t>
        </is>
      </c>
      <c r="E14" s="9" t="inlineStr">
        <is>
          <t>Empata, pero AdMob exige app nativa y Gatekeeper es web/PWA. Y frena al residente justo en la puerta.</t>
        </is>
      </c>
    </row>
    <row r="15">
      <c r="A15" s="6" t="inlineStr">
        <is>
          <t>3. Patrocinio local directo</t>
        </is>
      </c>
      <c r="B15" s="21">
        <f>'1. Supuestos'!$B$30</f>
        <v/>
      </c>
      <c r="C15" s="35">
        <f>IF(B15&gt;='6. Tier Gratis'!$B$8,"SÍ","NO")</f>
        <v/>
      </c>
      <c r="D15" s="36" t="inlineStr">
        <is>
          <t>NO NECESARIO</t>
        </is>
      </c>
      <c r="E15" s="9" t="inlineStr">
        <is>
          <t>Funciona, pero es un segundo negocio (venta 1-a-1). Por lo que cuesta el tier gratis, no vale tu tiempo.</t>
        </is>
      </c>
    </row>
    <row r="16">
      <c r="A16" s="2" t="inlineStr">
        <is>
          <t>Nota: las vías 1 y 2 se calculan sobre los 15 residentes de UNA cuenta gratis, para comparar contra su costo real.</t>
        </is>
      </c>
    </row>
    <row r="18">
      <c r="A18" s="20" t="inlineStr">
        <is>
          <t>C) ESCALA DEL PATROCINIO — cuánta gratuidad puedes sostener</t>
        </is>
      </c>
    </row>
    <row r="19" ht="28" customHeight="1">
      <c r="A19" s="3" t="inlineStr">
        <is>
          <t>Concepto</t>
        </is>
      </c>
      <c r="B19" s="3" t="inlineStr">
        <is>
          <t>Valor</t>
        </is>
      </c>
      <c r="C19" s="3" t="inlineStr">
        <is>
          <t>Unidad</t>
        </is>
      </c>
      <c r="D19" s="3" t="inlineStr"/>
      <c r="E19" s="3" t="inlineStr">
        <is>
          <t>Nota</t>
        </is>
      </c>
    </row>
    <row r="20">
      <c r="A20" s="6" t="inlineStr">
        <is>
          <t>Ingreso total por patrocinios</t>
        </is>
      </c>
      <c r="B20" s="37">
        <f>'1. Supuestos'!$B$30*'1. Supuestos'!$B$31</f>
        <v/>
      </c>
      <c r="C20" s="16" t="inlineStr">
        <is>
          <t>S/ /mes</t>
        </is>
      </c>
      <c r="D20" s="34" t="n"/>
      <c r="E20" s="9" t="inlineStr">
        <is>
          <t>Espacios vendidos × precio. Se resta de tus costos fijos (hoja 5).</t>
        </is>
      </c>
    </row>
    <row r="21">
      <c r="A21" s="6" t="inlineStr">
        <is>
          <t>Usuarios gratis que financia</t>
        </is>
      </c>
      <c r="B21" s="38">
        <f>ROUNDDOWN('1. Supuestos'!$B$30*'1. Supuestos'!$B$31/'3. Costo x Usuario'!$C$8,0)</f>
        <v/>
      </c>
      <c r="C21" s="16" t="inlineStr">
        <is>
          <t>usuarios</t>
        </is>
      </c>
      <c r="D21" s="34" t="n"/>
      <c r="E21" s="9" t="inlineStr">
        <is>
          <t>Capacidad de gratuidad totalmente pagada.</t>
        </is>
      </c>
    </row>
    <row r="22">
      <c r="A22" s="6" t="inlineStr">
        <is>
          <t>Condominios gratis que financia</t>
        </is>
      </c>
      <c r="B22" s="38">
        <f>ROUNDDOWN('1. Supuestos'!$B$30*'1. Supuestos'!$B$31/('1. Supuestos'!$B$25*'3. Costo x Usuario'!$C$8),0)</f>
        <v/>
      </c>
      <c r="C22" s="16" t="inlineStr">
        <is>
          <t>condominios</t>
        </is>
      </c>
      <c r="D22" s="34" t="n"/>
      <c r="E22" s="9" t="inlineStr">
        <is>
          <t>Cuentas gratis sostenidas sin tocar tu bolsillo.</t>
        </is>
      </c>
    </row>
    <row r="23">
      <c r="A23" s="6" t="inlineStr">
        <is>
          <t>Costo de TU base gratis actual</t>
        </is>
      </c>
      <c r="B23" s="37">
        <f>'1. Supuestos'!$B$27*'1. Supuestos'!$B$25*'3. Costo x Usuario'!$C$8</f>
        <v/>
      </c>
      <c r="C23" s="16" t="inlineStr">
        <is>
          <t>S/ /mes</t>
        </is>
      </c>
      <c r="D23" s="34" t="n"/>
      <c r="E23" s="9" t="inlineStr">
        <is>
          <t>Cuentas gratis activas × 15 residentes × costo por residente. Este es el gasto real.</t>
        </is>
      </c>
    </row>
    <row r="24">
      <c r="A24" s="6" t="inlineStr">
        <is>
          <t>CLIENTES PAGOS QUE LA FINANCIAN</t>
        </is>
      </c>
      <c r="B24" s="38">
        <f>ROUNDUP('1. Supuestos'!$B$27*'1. Supuestos'!$B$25*'3. Costo x Usuario'!$C$8/'4. Margen x Cliente'!$C$11,0)</f>
        <v/>
      </c>
      <c r="C24" s="16" t="inlineStr">
        <is>
          <t>clientes</t>
        </is>
      </c>
      <c r="D24" s="34" t="n"/>
      <c r="E24" s="9" t="inlineStr">
        <is>
          <t>Cuántos clientes de pago hacen falta para cubrir TODA tu gratuidad. Suele ser 1.</t>
        </is>
      </c>
    </row>
    <row r="25">
      <c r="A25" s="6" t="inlineStr">
        <is>
          <t>Cuentas gratis que financia 1 cliente pago</t>
        </is>
      </c>
      <c r="B25" s="38">
        <f>ROUNDDOWN('4. Margen x Cliente'!$C$11/('1. Supuestos'!$B$25*'3. Costo x Usuario'!$C$8),0)</f>
        <v/>
      </c>
      <c r="C25" s="16" t="inlineStr">
        <is>
          <t>cuentas</t>
        </is>
      </c>
      <c r="D25" s="34" t="n"/>
      <c r="E25" s="9" t="inlineStr">
        <is>
          <t>La cifra clave: el tier gratis se paga solo con un puñado de clientes.</t>
        </is>
      </c>
    </row>
    <row r="28">
      <c r="A28" s="20" t="inlineStr">
        <is>
          <t>D) ESTRUCTURA DE PLANES — el gate limita VOLUMEN, nunca capacidades</t>
        </is>
      </c>
    </row>
    <row r="29" ht="28" customHeight="1">
      <c r="A29" s="3" t="inlineStr">
        <is>
          <t>Característica</t>
        </is>
      </c>
      <c r="B29" s="3" t="inlineStr">
        <is>
          <t>GRATIS</t>
        </is>
      </c>
      <c r="C29" s="3" t="inlineStr">
        <is>
          <t>PRO (S/ 89 – 129)</t>
        </is>
      </c>
      <c r="D29" s="3" t="inlineStr"/>
      <c r="E29" s="3" t="inlineStr">
        <is>
          <t>Por qué ese límite</t>
        </is>
      </c>
    </row>
    <row r="30">
      <c r="A30" s="6" t="inlineStr">
        <is>
          <t>Residentes</t>
        </is>
      </c>
      <c r="B30" s="39" t="inlineStr">
        <is>
          <t>15</t>
        </is>
      </c>
      <c r="C30" s="40" t="inlineStr">
        <is>
          <t>Ilimitados</t>
        </is>
      </c>
      <c r="D30" s="34" t="n"/>
      <c r="E30" s="9" t="inlineStr">
        <is>
          <t>Volumen. Costo marginal ≈ S/ 0.036 → 'ilimitado' no te cuesta y vende.</t>
        </is>
      </c>
    </row>
    <row r="31">
      <c r="A31" s="6" t="inlineStr">
        <is>
          <t>Vigilantes</t>
        </is>
      </c>
      <c r="B31" s="39" t="inlineStr">
        <is>
          <t>1</t>
        </is>
      </c>
      <c r="C31" s="40" t="inlineStr">
        <is>
          <t>Ilimitados</t>
        </is>
      </c>
      <c r="D31" s="34" t="n"/>
      <c r="E31" s="9" t="inlineStr">
        <is>
          <t>Volumen. El 2º vigilante es lo que necesita un coworking.</t>
        </is>
      </c>
    </row>
    <row r="32">
      <c r="A32" s="6" t="inlineStr">
        <is>
          <t>Visitas por mes</t>
        </is>
      </c>
      <c r="B32" s="39" t="inlineStr">
        <is>
          <t>50</t>
        </is>
      </c>
      <c r="C32" s="40" t="inlineStr">
        <is>
          <t>3.000 (fair use)</t>
        </is>
      </c>
      <c r="D32" s="34" t="n"/>
      <c r="E32" s="9" t="inlineStr">
        <is>
          <t>Volumen. El tope NO es por costo: es contra el abuso y el soporte.</t>
        </is>
      </c>
    </row>
    <row r="33">
      <c r="A33" s="6" t="inlineStr">
        <is>
          <t>Ver ingreso/salida EN LA PLATAFORMA</t>
        </is>
      </c>
      <c r="B33" s="40" t="inlineStr">
        <is>
          <t>SÍ</t>
        </is>
      </c>
      <c r="C33" s="40" t="inlineStr">
        <is>
          <t>SÍ</t>
        </is>
      </c>
      <c r="D33" s="34" t="n"/>
      <c r="E33" s="9" t="inlineStr">
        <is>
          <t>CAPACIDAD. El residente ve 'Llegó 15:42' en su panel e historial. Nunca se limita.</t>
        </is>
      </c>
    </row>
    <row r="34">
      <c r="A34" s="6" t="inlineStr">
        <is>
          <t>Aviso por email (ingreso/salida)</t>
        </is>
      </c>
      <c r="B34" s="39" t="inlineStr">
        <is>
          <t>NO</t>
        </is>
      </c>
      <c r="C34" s="40" t="inlineStr">
        <is>
          <t>SÍ</t>
        </is>
      </c>
      <c r="D34" s="34" t="n"/>
      <c r="E34" s="9" t="inlineStr">
        <is>
          <t>Comodidad, no información: el dato ya está en la plataforma. Además libera el límite de Resend Free.</t>
        </is>
      </c>
    </row>
    <row r="35">
      <c r="A35" s="6" t="inlineStr">
        <is>
          <t>Reportes y exportación</t>
        </is>
      </c>
      <c r="B35" s="39" t="inlineStr">
        <is>
          <t>NO</t>
        </is>
      </c>
      <c r="C35" s="40" t="inlineStr">
        <is>
          <t>SÍ</t>
        </is>
      </c>
      <c r="D35" s="34" t="n"/>
      <c r="E35" s="9" t="inlineStr">
        <is>
          <t>Valor puro para el administrador, costo cero para ti.</t>
        </is>
      </c>
    </row>
    <row r="36">
      <c r="A36" s="6" t="inlineStr">
        <is>
          <t>Historial</t>
        </is>
      </c>
      <c r="B36" s="39" t="inlineStr">
        <is>
          <t>30 días</t>
        </is>
      </c>
      <c r="C36" s="40" t="inlineStr">
        <is>
          <t>Completo</t>
        </is>
      </c>
      <c r="D36" s="34" t="n"/>
      <c r="E36" s="9" t="inlineStr">
        <is>
          <t>Volumen de almacenamiento. El historial es la 'prueba' que vende.</t>
        </is>
      </c>
    </row>
    <row r="37">
      <c r="A37" s="6" t="inlineStr">
        <is>
          <t>Empresas (multi-organización)</t>
        </is>
      </c>
      <c r="B37" s="40" t="inlineStr">
        <is>
          <t>SÍ</t>
        </is>
      </c>
      <c r="C37" s="40" t="inlineStr">
        <is>
          <t>SÍ</t>
        </is>
      </c>
      <c r="D37" s="34" t="n"/>
      <c r="E37" s="9" t="inlineStr">
        <is>
          <t>CAPACIDAD, no volumen. Define A QUIÉN sirves: bloquearla mata el segmento y no ahorra nada.</t>
        </is>
      </c>
    </row>
    <row r="38">
      <c r="A38" s="6" t="inlineStr">
        <is>
          <t>Escaneo QR, placa/DNI, roles</t>
        </is>
      </c>
      <c r="B38" s="40" t="inlineStr">
        <is>
          <t>SÍ</t>
        </is>
      </c>
      <c r="C38" s="40" t="inlineStr">
        <is>
          <t>SÍ</t>
        </is>
      </c>
      <c r="D38" s="34" t="n"/>
      <c r="E38" s="9" t="inlineStr">
        <is>
          <t>CAPACIDAD. Es el producto. Nunca se limita.</t>
        </is>
      </c>
    </row>
    <row r="39">
      <c r="A39" s="6" t="inlineStr">
        <is>
          <t>Publicidad de terceros</t>
        </is>
      </c>
      <c r="B39" s="39" t="inlineStr">
        <is>
          <t>Ninguna</t>
        </is>
      </c>
      <c r="C39" s="40" t="inlineStr">
        <is>
          <t>Ninguna</t>
        </is>
      </c>
      <c r="D39" s="34" t="n"/>
      <c r="E39" s="9" t="inlineStr">
        <is>
          <t>Solo patrocinio local propio, sin ad network ni scripts externos.</t>
        </is>
      </c>
    </row>
    <row r="41">
      <c r="A41" s="20" t="inlineStr">
        <is>
          <t>E) LA REGLA</t>
        </is>
      </c>
    </row>
    <row r="42">
      <c r="A42" s="2" t="inlineStr">
        <is>
          <t>• Limita VOLUMEN (residentes, visitas, historial) y lo que CUESTA DINERO (emails). Nunca capacidades estructurales.</t>
        </is>
      </c>
    </row>
    <row r="43">
      <c r="A43" s="2" t="inlineStr">
        <is>
          <t>• Bloquear 'empresas' en el gratis no reduce ningún costo: impide que entren las administradoras y los coworking, que son el segmento que quieres.</t>
        </is>
      </c>
    </row>
    <row r="44">
      <c r="A44" s="2" t="inlineStr">
        <is>
          <t>• En usuarios del plan pago: sin límite. No cuesta nada y 'ilimitado' cierra ventas.</t>
        </is>
      </c>
    </row>
    <row r="45">
      <c r="A45" s="2" t="inlineStr">
        <is>
          <t>• En visitas y emails del plan pago: fair use (~3.000/mes). No por servidor, sino porque una cuenta con 40 edificios consume el soporte de 40 clientes pagando uno.</t>
        </is>
      </c>
    </row>
    <row r="46">
      <c r="A46" s="2" t="inlineStr">
        <is>
          <t>• Cada edificio con su propia cuenta y su propio administrador: autónomo, aislado por RLS y facturable por separado.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2026-08-06T17:38:02Z</dcterms:created>
  <dcterms:modified xmlns:dcterms="http://purl.org/dc/terms/" xmlns:xsi="http://www.w3.org/2001/XMLSchema-instance" xsi:type="dcterms:W3CDTF">2026-08-06T17:38:02Z</dcterms:modified>
</cp:coreProperties>
</file>