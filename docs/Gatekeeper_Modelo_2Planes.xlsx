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Supuestos" sheetId="1" state="visible" r:id="rId1"/>
    <sheet xmlns:r="http://schemas.openxmlformats.org/officeDocument/2006/relationships" name="2. Infraestructura" sheetId="2" state="visible" r:id="rId2"/>
    <sheet xmlns:r="http://schemas.openxmlformats.org/officeDocument/2006/relationships" name="3. Costos x Usuario" sheetId="3" state="visible" r:id="rId3"/>
    <sheet xmlns:r="http://schemas.openxmlformats.org/officeDocument/2006/relationships" name="4. Plan GRATIS" sheetId="4" state="visible" r:id="rId4"/>
    <sheet xmlns:r="http://schemas.openxmlformats.org/officeDocument/2006/relationships" name="5. Plan PRO" sheetId="5" state="visible" r:id="rId5"/>
    <sheet xmlns:r="http://schemas.openxmlformats.org/officeDocument/2006/relationships" name="6. Punto Equilibri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S/ &quot;#,##0"/>
    <numFmt numFmtId="165" formatCode="&quot;$ &quot;#,##0.00"/>
    <numFmt numFmtId="166" formatCode="&quot;S/ &quot;#,##0.00"/>
    <numFmt numFmtId="167" formatCode="&quot;S/ &quot;#,##0.0000"/>
    <numFmt numFmtId="168" formatCode="0.0%"/>
    <numFmt numFmtId="169" formatCode="#,##0.0&quot;×&quot;"/>
    <numFmt numFmtId="170" formatCode="#,##0.0&quot; clientes&quot;"/>
  </numFmts>
  <fonts count="7">
    <font>
      <name val="Calibri"/>
      <family val="2"/>
      <color theme="1"/>
      <sz val="11"/>
      <scheme val="minor"/>
    </font>
    <font>
      <b val="1"/>
      <color rgb="000F172A"/>
      <sz val="16"/>
    </font>
    <font>
      <i val="1"/>
      <color rgb="00475569"/>
      <sz val="10"/>
    </font>
    <font>
      <b val="1"/>
      <color rgb="00FFFFFF"/>
      <sz val="11"/>
    </font>
    <font>
      <b val="1"/>
      <color rgb="00EA580C"/>
      <sz val="12"/>
    </font>
    <font>
      <sz val="11"/>
    </font>
    <font>
      <b val="1"/>
      <sz val="11"/>
    </font>
  </fonts>
  <fills count="9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1F5F9"/>
      </patternFill>
    </fill>
    <fill>
      <patternFill patternType="solid">
        <fgColor rgb="00FEF9C3"/>
      </patternFill>
    </fill>
    <fill>
      <patternFill patternType="solid">
        <fgColor rgb="00EA580C"/>
      </patternFill>
    </fill>
    <fill>
      <patternFill patternType="solid">
        <fgColor rgb="00DCFCE7"/>
      </patternFill>
    </fill>
    <fill>
      <patternFill patternType="solid">
        <fgColor rgb="00DBEAFE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0" fillId="3" borderId="1" pivotButton="0" quotePrefix="0" xfId="0"/>
    <xf numFmtId="0" fontId="5" fillId="0" borderId="1" pivotButton="0" quotePrefix="0" xfId="0"/>
    <xf numFmtId="164" fontId="6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pivotButton="0" quotePrefix="0" xfId="0"/>
    <xf numFmtId="9" fontId="6" fillId="4" borderId="1" applyAlignment="1" pivotButton="0" quotePrefix="0" xfId="0">
      <alignment horizontal="center"/>
    </xf>
    <xf numFmtId="165" fontId="6" fillId="4" borderId="1" applyAlignment="1" pivotButton="0" quotePrefix="0" xfId="0">
      <alignment horizontal="center"/>
    </xf>
    <xf numFmtId="3" fontId="6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6" fontId="0" fillId="0" borderId="1" pivotButton="0" quotePrefix="0" xfId="0"/>
    <xf numFmtId="0" fontId="3" fillId="5" borderId="1" pivotButton="0" quotePrefix="0" xfId="0"/>
    <xf numFmtId="165" fontId="3" fillId="5" borderId="1" applyAlignment="1" pivotButton="0" quotePrefix="0" xfId="0">
      <alignment horizontal="center"/>
    </xf>
    <xf numFmtId="166" fontId="3" fillId="5" borderId="1" pivotButton="0" quotePrefix="0" xfId="0"/>
    <xf numFmtId="0" fontId="4" fillId="0" borderId="0" pivotButton="0" quotePrefix="0" xfId="0"/>
    <xf numFmtId="167" fontId="0" fillId="0" borderId="1" applyAlignment="1" pivotButton="0" quotePrefix="0" xfId="0">
      <alignment horizontal="center"/>
    </xf>
    <xf numFmtId="167" fontId="3" fillId="5" borderId="1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  <xf numFmtId="0" fontId="6" fillId="0" borderId="1" pivotButton="0" quotePrefix="0" xfId="0"/>
    <xf numFmtId="166" fontId="6" fillId="6" borderId="1" applyAlignment="1" pivotButton="0" quotePrefix="0" xfId="0">
      <alignment horizontal="center"/>
    </xf>
    <xf numFmtId="166" fontId="0" fillId="0" borderId="1" applyAlignment="1" pivotButton="0" quotePrefix="0" xfId="0">
      <alignment horizontal="center"/>
    </xf>
    <xf numFmtId="166" fontId="3" fillId="5" borderId="1" applyAlignment="1" pivotButton="0" quotePrefix="0" xfId="0">
      <alignment horizontal="center"/>
    </xf>
    <xf numFmtId="166" fontId="6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6" fillId="0" borderId="0" pivotButton="0" quotePrefix="0" xfId="0"/>
    <xf numFmtId="166" fontId="3" fillId="5" borderId="0" applyAlignment="1" pivotButton="0" quotePrefix="0" xfId="0">
      <alignment horizontal="center"/>
    </xf>
    <xf numFmtId="168" fontId="0" fillId="0" borderId="1" applyAlignment="1" pivotButton="0" quotePrefix="0" xfId="0">
      <alignment horizontal="center"/>
    </xf>
    <xf numFmtId="169" fontId="6" fillId="6" borderId="1" applyAlignment="1" pivotButton="0" quotePrefix="0" xfId="0">
      <alignment horizontal="center"/>
    </xf>
    <xf numFmtId="0" fontId="0" fillId="0" borderId="1" pivotButton="0" quotePrefix="0" xfId="0"/>
    <xf numFmtId="168" fontId="6" fillId="0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3" fontId="6" fillId="7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3" fontId="6" fillId="8" borderId="0" applyAlignment="1" pivotButton="0" quotePrefix="0" xfId="0">
      <alignment horizontal="center"/>
    </xf>
    <xf numFmtId="164" fontId="6" fillId="0" borderId="1" applyAlignment="1" pivotButton="0" quotePrefix="0" xfId="0">
      <alignment horizontal="center"/>
    </xf>
    <xf numFmtId="164" fontId="3" fillId="5" borderId="1" applyAlignment="1" pivotButton="0" quotePrefix="0" xfId="0">
      <alignment horizontal="center"/>
    </xf>
    <xf numFmtId="3" fontId="3" fillId="5" borderId="1" applyAlignment="1" pivotButton="0" quotePrefix="0" xfId="0">
      <alignment horizontal="center"/>
    </xf>
    <xf numFmtId="17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  <col width="16" customWidth="1" min="3" max="3"/>
    <col width="66" customWidth="1" min="4" max="4"/>
  </cols>
  <sheetData>
    <row r="1">
      <c r="A1" s="1" t="inlineStr">
        <is>
          <t>Gatekeeper — Modelo de 2 planes: GRATIS y PRO</t>
        </is>
      </c>
    </row>
    <row r="2">
      <c r="A2" s="2" t="inlineStr">
        <is>
          <t>Celdas AMARILLAS = editables. Todo el libro se recalcula solo.</t>
        </is>
      </c>
    </row>
    <row r="4" ht="30" customHeight="1">
      <c r="A4" s="3" t="inlineStr">
        <is>
          <t>Parámetro</t>
        </is>
      </c>
      <c r="B4" s="3" t="inlineStr">
        <is>
          <t>Valor</t>
        </is>
      </c>
      <c r="C4" s="3" t="inlineStr">
        <is>
          <t>Unidad</t>
        </is>
      </c>
      <c r="D4" s="3" t="inlineStr">
        <is>
          <t>Nota</t>
        </is>
      </c>
    </row>
    <row r="5">
      <c r="A5" s="4" t="inlineStr">
        <is>
          <t>Moneda e impuestos</t>
        </is>
      </c>
      <c r="B5" s="5" t="n"/>
      <c r="C5" s="5" t="n"/>
      <c r="D5" s="5" t="n"/>
    </row>
    <row r="6">
      <c r="A6" s="6" t="inlineStr">
        <is>
          <t>Tipo de cambio USD → PEN</t>
        </is>
      </c>
      <c r="B6" s="7" t="n">
        <v>3.75</v>
      </c>
      <c r="C6" s="8" t="inlineStr">
        <is>
          <t>S/ por USD</t>
        </is>
      </c>
      <c r="D6" s="9" t="inlineStr">
        <is>
          <t>Referencial ago-2026.</t>
        </is>
      </c>
    </row>
    <row r="7">
      <c r="A7" s="6" t="inlineStr">
        <is>
          <t>IGV</t>
        </is>
      </c>
      <c r="B7" s="10" t="n">
        <v>0.18</v>
      </c>
      <c r="C7" s="8" t="inlineStr">
        <is>
          <t>%</t>
        </is>
      </c>
      <c r="D7" s="9" t="inlineStr">
        <is>
          <t>El precio de lista lo incluye: no es ingreso tuyo.</t>
        </is>
      </c>
    </row>
    <row r="8">
      <c r="A8" s="4" t="inlineStr">
        <is>
          <t>Pasarela de pago (solo aplica al plan PRO)</t>
        </is>
      </c>
      <c r="B8" s="5" t="n"/>
      <c r="C8" s="5" t="n"/>
      <c r="D8" s="5" t="n"/>
    </row>
    <row r="9">
      <c r="A9" s="6" t="inlineStr">
        <is>
          <t>Comisión Culqi — variable</t>
        </is>
      </c>
      <c r="B9" s="10" t="n">
        <v>0.042</v>
      </c>
      <c r="C9" s="8" t="inlineStr">
        <is>
          <t>%</t>
        </is>
      </c>
      <c r="D9" s="9" t="inlineStr">
        <is>
          <t>4.20% tarjeta nacional. CONFIRMAR con tu contrato real.</t>
        </is>
      </c>
    </row>
    <row r="10">
      <c r="A10" s="6" t="inlineStr">
        <is>
          <t>Comisión Culqi — fija</t>
        </is>
      </c>
      <c r="B10" s="11" t="n">
        <v>0.3</v>
      </c>
      <c r="C10" s="8" t="inlineStr">
        <is>
          <t>USD</t>
        </is>
      </c>
      <c r="D10" s="9" t="inlineStr">
        <is>
          <t>Por transacción.</t>
        </is>
      </c>
    </row>
    <row r="11">
      <c r="A11" s="6" t="inlineStr">
        <is>
          <t>IGV sobre la comisión</t>
        </is>
      </c>
      <c r="B11" s="10" t="n">
        <v>0.18</v>
      </c>
      <c r="C11" s="8" t="inlineStr">
        <is>
          <t>%</t>
        </is>
      </c>
      <c r="D11" s="9" t="inlineStr">
        <is>
          <t>La comisión también paga IGV.</t>
        </is>
      </c>
    </row>
    <row r="12">
      <c r="A12" s="6" t="inlineStr">
        <is>
          <t>¿Cobras con tarjeta? (1=Culqi / 0=transferencia)</t>
        </is>
      </c>
      <c r="B12" s="12" t="n">
        <v>1</v>
      </c>
      <c r="C12" s="8" t="inlineStr">
        <is>
          <t>1 ó 0</t>
        </is>
      </c>
      <c r="D12" s="9" t="inlineStr">
        <is>
          <t>0 = cobro anual por transferencia/Yape → comisión CERO.</t>
        </is>
      </c>
    </row>
    <row r="13">
      <c r="A13" s="4" t="inlineStr">
        <is>
          <t>Plan PRO</t>
        </is>
      </c>
      <c r="B13" s="5" t="n"/>
      <c r="C13" s="5" t="n"/>
      <c r="D13" s="5" t="n"/>
    </row>
    <row r="14">
      <c r="A14" s="6" t="inlineStr">
        <is>
          <t>Precio del plan PRO</t>
        </is>
      </c>
      <c r="B14" s="7" t="n">
        <v>89</v>
      </c>
      <c r="C14" s="8" t="inlineStr">
        <is>
          <t>S/ /mes</t>
        </is>
      </c>
      <c r="D14" s="9" t="inlineStr">
        <is>
          <t>PLAN ÚNICO DEFINIDO: S/ 89/mes. La hoja 5 solo muestra sensibilidad.</t>
        </is>
      </c>
    </row>
    <row r="15">
      <c r="A15" s="6" t="inlineStr">
        <is>
          <t>Residentes por cuenta PRO</t>
        </is>
      </c>
      <c r="B15" s="12" t="n">
        <v>30</v>
      </c>
      <c r="C15" s="8" t="inlineStr">
        <is>
          <t>usuarios</t>
        </is>
      </c>
      <c r="D15" s="9" t="inlineStr">
        <is>
          <t>⚠️ NO es un límite: PRO es ilimitado. Es el TAMAÑO PROMEDIO de un cliente, para estimar costos.</t>
        </is>
      </c>
    </row>
    <row r="16">
      <c r="A16" s="6" t="inlineStr">
        <is>
          <t>Visitas por residente PRO / mes</t>
        </is>
      </c>
      <c r="B16" s="12" t="n">
        <v>8</v>
      </c>
      <c r="C16" s="8" t="inlineStr">
        <is>
          <t>visitas</t>
        </is>
      </c>
      <c r="D16" s="9" t="inlineStr">
        <is>
          <t>≈ 2 por semana. Tampoco es un límite: es uso promedio estimado.</t>
        </is>
      </c>
    </row>
    <row r="17">
      <c r="A17" s="4" t="inlineStr">
        <is>
          <t>Plan GRATIS</t>
        </is>
      </c>
      <c r="B17" s="5" t="n"/>
      <c r="C17" s="5" t="n"/>
      <c r="D17" s="5" t="n"/>
    </row>
    <row r="18">
      <c r="A18" s="6" t="inlineStr">
        <is>
          <t>Residentes por cuenta GRATIS</t>
        </is>
      </c>
      <c r="B18" s="12" t="n">
        <v>15</v>
      </c>
      <c r="C18" s="8" t="inlineStr">
        <is>
          <t>usuarios</t>
        </is>
      </c>
      <c r="D18" s="9" t="inlineStr">
        <is>
          <t>Este SÍ es un límite real del plan gratuito.</t>
        </is>
      </c>
    </row>
    <row r="19">
      <c r="A19" s="6" t="inlineStr">
        <is>
          <t>Visitas por residente GRATIS / mes</t>
        </is>
      </c>
      <c r="B19" s="12" t="n">
        <v>3</v>
      </c>
      <c r="C19" s="8" t="inlineStr">
        <is>
          <t>visitas</t>
        </is>
      </c>
      <c r="D19" s="9" t="inlineStr">
        <is>
          <t>Menor uso: el gratis se prueba, no se opera a full.</t>
        </is>
      </c>
    </row>
    <row r="20">
      <c r="A20" s="6" t="inlineStr">
        <is>
          <t>Cuentas GRATIS activas</t>
        </is>
      </c>
      <c r="B20" s="12" t="n">
        <v>100</v>
      </c>
      <c r="C20" s="8" t="inlineStr">
        <is>
          <t>cuentas</t>
        </is>
      </c>
      <c r="D20" s="9" t="inlineStr">
        <is>
          <t>Cuántos condominios tienes en el plan gratuito.</t>
        </is>
      </c>
    </row>
    <row r="21">
      <c r="A21" s="6" t="inlineStr">
        <is>
          <t>¿El gratis envía emails? (1=Sí / 0=No)</t>
        </is>
      </c>
      <c r="B21" s="12" t="n">
        <v>0</v>
      </c>
      <c r="C21" s="8" t="inlineStr">
        <is>
          <t>1 ó 0</t>
        </is>
      </c>
      <c r="D21" s="9" t="inlineStr">
        <is>
          <t>0 = el residente ve el ingreso EN LA PLATAFORMA (ya implementado).</t>
        </is>
      </c>
    </row>
    <row r="22">
      <c r="A22" s="4" t="inlineStr">
        <is>
          <t>Publicidad en el plan GRATIS</t>
        </is>
      </c>
      <c r="B22" s="5" t="n"/>
      <c r="C22" s="5" t="n"/>
      <c r="D22" s="5" t="n"/>
    </row>
    <row r="23">
      <c r="A23" s="6" t="inlineStr">
        <is>
          <t>¿Activar publicidad? (1=Sí / 0=No)</t>
        </is>
      </c>
      <c r="B23" s="12" t="n">
        <v>1</v>
      </c>
      <c r="C23" s="8" t="inlineStr">
        <is>
          <t>1 ó 0</t>
        </is>
      </c>
      <c r="D23" s="9" t="inlineStr">
        <is>
          <t>Enciende/apaga el ingreso publicitario en todo el modelo.</t>
        </is>
      </c>
    </row>
    <row r="24">
      <c r="A24" s="6" t="inlineStr">
        <is>
          <t>Vía activa (1=Banner / 2=Patrocinio)</t>
        </is>
      </c>
      <c r="B24" s="12" t="n">
        <v>1</v>
      </c>
      <c r="C24" s="8" t="inlineStr">
        <is>
          <t>1 ó 2</t>
        </is>
      </c>
      <c r="D24" s="9" t="inlineStr">
        <is>
          <t>El video rewarded NO aplica: exige app nativa y Gatekeeper es solo web.</t>
        </is>
      </c>
    </row>
    <row r="25">
      <c r="A25" s="6" t="inlineStr">
        <is>
          <t>CPM banner (AdSense web)</t>
        </is>
      </c>
      <c r="B25" s="11" t="n">
        <v>0.5</v>
      </c>
      <c r="C25" s="8" t="inlineStr">
        <is>
          <t>USD</t>
        </is>
      </c>
      <c r="D25" s="9" t="inlineStr">
        <is>
          <t>Rango real Perú 0.30 – 1.00.</t>
        </is>
      </c>
    </row>
    <row r="26">
      <c r="A26" s="6" t="inlineStr">
        <is>
          <t>Patrocinio local — por espacio</t>
        </is>
      </c>
      <c r="B26" s="7" t="n">
        <v>80</v>
      </c>
      <c r="C26" s="8" t="inlineStr">
        <is>
          <t>S/ /mes</t>
        </is>
      </c>
      <c r="D26" s="9" t="inlineStr">
        <is>
          <t>Venta directa a un comercio de la zona.</t>
        </is>
      </c>
    </row>
    <row r="27">
      <c r="A27" s="6" t="inlineStr">
        <is>
          <t>Patrocinadores vendidos</t>
        </is>
      </c>
      <c r="B27" s="12" t="n">
        <v>0</v>
      </c>
      <c r="C27" s="8" t="inlineStr">
        <is>
          <t>espacios</t>
        </is>
      </c>
      <c r="D27" s="9" t="inlineStr">
        <is>
          <t>Cuántos espacios tienes colocados.</t>
        </is>
      </c>
    </row>
    <row r="28">
      <c r="A28" s="6" t="inlineStr">
        <is>
          <t>Impresiones por residente / mes</t>
        </is>
      </c>
      <c r="B28" s="12" t="n">
        <v>12</v>
      </c>
      <c r="C28" s="8" t="inlineStr">
        <is>
          <t>impresiones</t>
        </is>
      </c>
      <c r="D28" s="9" t="inlineStr">
        <is>
          <t>≈ 4 sesiones × 3 vistas.</t>
        </is>
      </c>
    </row>
    <row r="29">
      <c r="A29" s="4" t="inlineStr">
        <is>
          <t>Motor de conversión (así el GRATIS genera ingresos)</t>
        </is>
      </c>
      <c r="B29" s="5" t="n"/>
      <c r="C29" s="5" t="n"/>
      <c r="D29" s="5" t="n"/>
    </row>
    <row r="30">
      <c r="A30" s="6" t="inlineStr">
        <is>
          <t>Tasa de conversión GRATIS → PRO</t>
        </is>
      </c>
      <c r="B30" s="10" t="n">
        <v>0.05</v>
      </c>
      <c r="C30" s="8" t="inlineStr">
        <is>
          <t>%</t>
        </is>
      </c>
      <c r="D30" s="9" t="inlineStr">
        <is>
          <t>De cada 100 cuentas gratis, cuántas terminan pagando.</t>
        </is>
      </c>
    </row>
    <row r="31">
      <c r="A31" s="4" t="inlineStr">
        <is>
          <t>Estructura del negocio</t>
        </is>
      </c>
      <c r="B31" s="5" t="n"/>
      <c r="C31" s="5" t="n"/>
      <c r="D31" s="5" t="n"/>
    </row>
    <row r="32">
      <c r="A32" s="6" t="inlineStr">
        <is>
          <t>Tu sueldo</t>
        </is>
      </c>
      <c r="B32" s="7" t="n">
        <v>500</v>
      </c>
      <c r="C32" s="8" t="inlineStr">
        <is>
          <t>S/ /mes</t>
        </is>
      </c>
      <c r="D32" s="9" t="inlineStr">
        <is>
          <t>El mayor costo fijo. Es tu decisión.</t>
        </is>
      </c>
    </row>
    <row r="33">
      <c r="A33" s="6" t="inlineStr">
        <is>
          <t>Marketing pagado</t>
        </is>
      </c>
      <c r="B33" s="7" t="n">
        <v>300</v>
      </c>
      <c r="C33" s="8" t="inlineStr">
        <is>
          <t>S/ /mes</t>
        </is>
      </c>
      <c r="D33" s="9" t="inlineStr">
        <is>
          <t>Limitado: el canal principal es el plan gratis.</t>
        </is>
      </c>
    </row>
    <row r="34">
      <c r="A34" s="6" t="inlineStr">
        <is>
          <t>Soporte — valor imputado</t>
        </is>
      </c>
      <c r="B34" s="7" t="n">
        <v>0</v>
      </c>
      <c r="C34" s="8" t="inlineStr">
        <is>
          <t>S/ /mes</t>
        </is>
      </c>
      <c r="D34" s="9" t="inlineStr">
        <is>
          <t>0 = lo das tú y no lo cobras. NO sale del banco.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4" customWidth="1" min="3" max="3"/>
    <col width="14" customWidth="1" min="4" max="4"/>
    <col width="14" customWidth="1" min="5" max="5"/>
    <col width="60" customWidth="1" min="6" max="6"/>
  </cols>
  <sheetData>
    <row r="1">
      <c r="A1" s="1" t="inlineStr">
        <is>
          <t>Costos fijos de infraestructura</t>
        </is>
      </c>
    </row>
    <row r="2">
      <c r="A2" s="2" t="inlineStr">
        <is>
          <t>Lo que cuesta tener la plataforma encendida, tengas 1 o 200 clientes.</t>
        </is>
      </c>
    </row>
    <row r="4" ht="30" customHeight="1">
      <c r="A4" s="3" t="inlineStr">
        <is>
          <t>Servicio</t>
        </is>
      </c>
      <c r="B4" s="3" t="inlineStr">
        <is>
          <t>Plan</t>
        </is>
      </c>
      <c r="C4" s="3" t="inlineStr">
        <is>
          <t>USD/mes</t>
        </is>
      </c>
      <c r="D4" s="3" t="inlineStr">
        <is>
          <t>S//mes</t>
        </is>
      </c>
      <c r="E4" s="3" t="inlineStr">
        <is>
          <t>¿Obligatorio?</t>
        </is>
      </c>
      <c r="F4" s="3" t="inlineStr">
        <is>
          <t>Nota</t>
        </is>
      </c>
    </row>
    <row r="5">
      <c r="A5" s="6" t="inlineStr">
        <is>
          <t>Vercel</t>
        </is>
      </c>
      <c r="B5" s="6" t="inlineStr">
        <is>
          <t>Pro</t>
        </is>
      </c>
      <c r="C5" s="13" t="n">
        <v>20</v>
      </c>
      <c r="D5" s="14">
        <f>C5*'1. Supuestos'!$B$6</f>
        <v/>
      </c>
      <c r="E5" s="8" t="inlineStr">
        <is>
          <t>SÍ</t>
        </is>
      </c>
      <c r="F5" s="9" t="inlineStr">
        <is>
          <t>Hobby PROHÍBE uso comercial y ya cobras suscripciones. No es negociable.</t>
        </is>
      </c>
    </row>
    <row r="6">
      <c r="A6" s="6" t="inlineStr">
        <is>
          <t>Neon (PostgreSQL)</t>
        </is>
      </c>
      <c r="B6" s="6" t="inlineStr">
        <is>
          <t>Launch</t>
        </is>
      </c>
      <c r="C6" s="13" t="n">
        <v>19</v>
      </c>
      <c r="D6" s="14">
        <f>C6*'1. Supuestos'!$B$6</f>
        <v/>
      </c>
      <c r="E6" s="8" t="inlineStr">
        <is>
          <t>SÍ</t>
        </is>
      </c>
      <c r="F6" s="9" t="inlineStr">
        <is>
          <t>Free ya provocó un timeout del cron por autosuspend.</t>
        </is>
      </c>
    </row>
    <row r="7">
      <c r="A7" s="6" t="inlineStr">
        <is>
          <t>Resend (emails)</t>
        </is>
      </c>
      <c r="B7" s="6" t="inlineStr">
        <is>
          <t>Free</t>
        </is>
      </c>
      <c r="C7" s="13" t="n">
        <v>0</v>
      </c>
      <c r="D7" s="14">
        <f>C7*'1. Supuestos'!$B$6</f>
        <v/>
      </c>
      <c r="E7" s="8" t="inlineStr">
        <is>
          <t>Aún no</t>
        </is>
      </c>
      <c r="F7" s="9" t="inlineStr">
        <is>
          <t>Free = 3.000 emails/mes ≈ 12 clientes PRO. Ahí recién Pro ($20).</t>
        </is>
      </c>
    </row>
    <row r="8">
      <c r="A8" s="6" t="inlineStr">
        <is>
          <t>Upstash Redis</t>
        </is>
      </c>
      <c r="B8" s="6" t="inlineStr">
        <is>
          <t>Free</t>
        </is>
      </c>
      <c r="C8" s="13" t="n">
        <v>0</v>
      </c>
      <c r="D8" s="14">
        <f>C8*'1. Supuestos'!$B$6</f>
        <v/>
      </c>
      <c r="E8" s="8" t="inlineStr">
        <is>
          <t>Aún no</t>
        </is>
      </c>
      <c r="F8" s="9" t="inlineStr">
        <is>
          <t>Rate limiting usa poquísimos comandos.</t>
        </is>
      </c>
    </row>
    <row r="9">
      <c r="A9" s="6" t="inlineStr">
        <is>
          <t>Sentry</t>
        </is>
      </c>
      <c r="B9" s="6" t="inlineStr">
        <is>
          <t>Free</t>
        </is>
      </c>
      <c r="C9" s="13" t="n">
        <v>0</v>
      </c>
      <c r="D9" s="14">
        <f>C9*'1. Supuestos'!$B$6</f>
        <v/>
      </c>
      <c r="E9" s="8" t="inlineStr">
        <is>
          <t>No</t>
        </is>
      </c>
      <c r="F9" s="9" t="inlineStr">
        <is>
          <t>Free = 5k errores/mes. No lo actives hasta que quede chico.</t>
        </is>
      </c>
    </row>
    <row r="10">
      <c r="A10" s="6" t="inlineStr">
        <is>
          <t>Dominio + correo</t>
        </is>
      </c>
      <c r="B10" s="6" t="inlineStr">
        <is>
          <t>Cloudflare</t>
        </is>
      </c>
      <c r="C10" s="13" t="n">
        <v>1</v>
      </c>
      <c r="D10" s="14">
        <f>C10*'1. Supuestos'!$B$6</f>
        <v/>
      </c>
      <c r="E10" s="8" t="inlineStr">
        <is>
          <t>SÍ</t>
        </is>
      </c>
      <c r="F10" s="9" t="inlineStr">
        <is>
          <t>Anual prorrateado + Email Routing gratis.</t>
        </is>
      </c>
    </row>
    <row r="11">
      <c r="A11" s="15" t="inlineStr">
        <is>
          <t>TOTAL INFRAESTRUCTURA</t>
        </is>
      </c>
      <c r="B11" s="15" t="n"/>
      <c r="C11" s="16">
        <f>SUM(C5:C10)</f>
        <v/>
      </c>
      <c r="D11" s="17">
        <f>SUM(D5:D10)</f>
        <v/>
      </c>
      <c r="E11" s="15" t="n"/>
      <c r="F11" s="15" t="n"/>
    </row>
    <row r="13">
      <c r="A13" s="2" t="inlineStr">
        <is>
          <t>• Este total NO crece con cada cliente: es una sola base de datos multi-tenant.</t>
        </is>
      </c>
    </row>
    <row r="14">
      <c r="A14" s="2" t="inlineStr">
        <is>
          <t>• Apagar Resend/Upstash/Sentry (todos en Free) ahorra S/210/mes respecto a tenerlos en plan pago.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66" customWidth="1" min="4" max="4"/>
  </cols>
  <sheetData>
    <row r="1">
      <c r="A1" s="1" t="inlineStr">
        <is>
          <t>Cuánto cuesta cada usuario y cada cuenta</t>
        </is>
      </c>
    </row>
    <row r="2">
      <c r="A2" s="2" t="inlineStr">
        <is>
          <t>El costo marginal real, separando plan GRATIS de plan PRO.</t>
        </is>
      </c>
    </row>
    <row r="4">
      <c r="A4" s="18" t="inlineStr">
        <is>
          <t>A) COSTO POR RESIDENTE / MES</t>
        </is>
      </c>
    </row>
    <row r="5" ht="30" customHeight="1">
      <c r="A5" s="3" t="inlineStr">
        <is>
          <t>Concepto</t>
        </is>
      </c>
      <c r="B5" s="3" t="inlineStr">
        <is>
          <t>GRATIS</t>
        </is>
      </c>
      <c r="C5" s="3" t="inlineStr">
        <is>
          <t>PRO</t>
        </is>
      </c>
      <c r="D5" s="3" t="inlineStr">
        <is>
          <t>Cómo se calcula</t>
        </is>
      </c>
    </row>
    <row r="6">
      <c r="A6" s="6" t="inlineStr">
        <is>
          <t>Emails de notificación</t>
        </is>
      </c>
      <c r="B6" s="19">
        <f>'1. Supuestos'!$B$19*2*0.0004*'1. Supuestos'!$B$6*'1. Supuestos'!$B$21</f>
        <v/>
      </c>
      <c r="C6" s="19">
        <f>'1. Supuestos'!$B$16*2*0.0004*'1. Supuestos'!$B$6</f>
        <v/>
      </c>
      <c r="D6" s="9" t="inlineStr">
        <is>
          <t>visitas × 2 emails × USD 0.0004. El gratis los tiene apagados.</t>
        </is>
      </c>
    </row>
    <row r="7">
      <c r="A7" s="6" t="inlineStr">
        <is>
          <t>Compute + base de datos</t>
        </is>
      </c>
      <c r="B7" s="19">
        <f>'2. Infraestructura'!$C$11/10000*'1. Supuestos'!$B$6</f>
        <v/>
      </c>
      <c r="C7" s="19">
        <f>'2. Infraestructura'!$C$11/10000*'1. Supuestos'!$B$6</f>
        <v/>
      </c>
      <c r="D7" s="9" t="inlineStr">
        <is>
          <t>Infraestructura ÷ 10.000 residentes de base.</t>
        </is>
      </c>
    </row>
    <row r="8">
      <c r="A8" s="15" t="inlineStr">
        <is>
          <t>COSTO POR RESIDENTE / MES</t>
        </is>
      </c>
      <c r="B8" s="20">
        <f>SUM(B6:B7)</f>
        <v/>
      </c>
      <c r="C8" s="20">
        <f>SUM(C6:C7)</f>
        <v/>
      </c>
      <c r="D8" s="15" t="n"/>
    </row>
    <row r="10">
      <c r="A10" s="18" t="inlineStr">
        <is>
          <t>B) COSTO POR CUENTA (un condominio completo)</t>
        </is>
      </c>
    </row>
    <row r="11" ht="30" customHeight="1">
      <c r="A11" s="3" t="inlineStr">
        <is>
          <t>Concepto</t>
        </is>
      </c>
      <c r="B11" s="3" t="inlineStr">
        <is>
          <t>GRATIS</t>
        </is>
      </c>
      <c r="C11" s="3" t="inlineStr">
        <is>
          <t>PRO</t>
        </is>
      </c>
      <c r="D11" s="3" t="inlineStr">
        <is>
          <t>Nota</t>
        </is>
      </c>
    </row>
    <row r="12">
      <c r="A12" s="6" t="inlineStr">
        <is>
          <t>Residentes por cuenta</t>
        </is>
      </c>
      <c r="B12" s="21">
        <f>'1. Supuestos'!$B$18</f>
        <v/>
      </c>
      <c r="C12" s="21">
        <f>'1. Supuestos'!$B$15</f>
        <v/>
      </c>
      <c r="D12" s="9" t="inlineStr">
        <is>
          <t>Tope del gratis vs. promedio real de un cliente PRO.</t>
        </is>
      </c>
    </row>
    <row r="13">
      <c r="A13" s="22" t="inlineStr">
        <is>
          <t>COSTO DE LA CUENTA / MES</t>
        </is>
      </c>
      <c r="B13" s="23">
        <f>'1. Supuestos'!$B$18*'3. Costos x Usuario'!$B$8</f>
        <v/>
      </c>
      <c r="C13" s="23">
        <f>'1. Supuestos'!$B$15*'3. Costos x Usuario'!$C$8</f>
        <v/>
      </c>
      <c r="D13" s="9" t="inlineStr">
        <is>
          <t>Lo que te cuesta servir a un condominio entero durante un mes.</t>
        </is>
      </c>
    </row>
    <row r="15">
      <c r="A15" s="2" t="inlineStr">
        <is>
          <t>• Una cuenta gratis cuesta menos que un caramelo. La infra NO es tu problema de negocio.</t>
        </is>
      </c>
    </row>
    <row r="16">
      <c r="A16" s="2" t="inlineStr">
        <is>
          <t>• Tus costos reales son: el sueldo que te pagas, la comisión de la pasarela y tu tiempo.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60" customWidth="1" min="4" max="4"/>
    <col width="56" customWidth="1" min="5" max="5"/>
  </cols>
  <sheetData>
    <row r="1">
      <c r="A1" s="1" t="inlineStr">
        <is>
          <t>Plan GRATIS — qué cuesta y qué genera</t>
        </is>
      </c>
    </row>
    <row r="2">
      <c r="A2" s="2" t="inlineStr">
        <is>
          <t>El gratis genera ingresos por DOS vías: publicidad (directa) y conversión a PRO (la importante).</t>
        </is>
      </c>
    </row>
    <row r="4">
      <c r="A4" s="18" t="inlineStr">
        <is>
          <t>A) LO QUE CUESTA TU BASE GRATIS</t>
        </is>
      </c>
    </row>
    <row r="5" ht="30" customHeight="1">
      <c r="A5" s="3" t="inlineStr">
        <is>
          <t>Concepto</t>
        </is>
      </c>
      <c r="B5" s="3" t="inlineStr">
        <is>
          <t>Valor</t>
        </is>
      </c>
      <c r="C5" s="3" t="inlineStr">
        <is>
          <t>Unidad</t>
        </is>
      </c>
      <c r="D5" s="3" t="inlineStr">
        <is>
          <t>Nota</t>
        </is>
      </c>
    </row>
    <row r="6">
      <c r="A6" s="6" t="inlineStr">
        <is>
          <t>Cuentas gratis activas</t>
        </is>
      </c>
      <c r="B6" s="21">
        <f>'1. Supuestos'!$B$20</f>
        <v/>
      </c>
      <c r="C6" s="8" t="inlineStr">
        <is>
          <t>cuentas</t>
        </is>
      </c>
      <c r="D6" s="9" t="inlineStr">
        <is>
          <t>Editable en la hoja 1.</t>
        </is>
      </c>
    </row>
    <row r="7">
      <c r="A7" s="6" t="inlineStr">
        <is>
          <t>Costo por cuenta gratis</t>
        </is>
      </c>
      <c r="B7" s="24">
        <f>'3. Costos x Usuario'!$B$13</f>
        <v/>
      </c>
      <c r="C7" s="8" t="inlineStr">
        <is>
          <t>S/ /mes</t>
        </is>
      </c>
      <c r="D7" s="9" t="inlineStr">
        <is>
          <t>15 residentes × costo por residente.</t>
        </is>
      </c>
    </row>
    <row r="8">
      <c r="A8" s="22" t="inlineStr">
        <is>
          <t>COSTO TOTAL DE TU BASE GRATIS</t>
        </is>
      </c>
      <c r="B8" s="25">
        <f>'1. Supuestos'!$B$20*'3. Costos x Usuario'!$B$13</f>
        <v/>
      </c>
      <c r="C8" s="8" t="inlineStr">
        <is>
          <t>S/ /mes</t>
        </is>
      </c>
      <c r="D8" s="9" t="inlineStr">
        <is>
          <t>Este es el gasto real de regalar el producto.</t>
        </is>
      </c>
    </row>
    <row r="10">
      <c r="A10" s="18" t="inlineStr">
        <is>
          <t>B) VÍA 1 — PUBLICIDAD: las tres opciones, con veredicto honesto</t>
        </is>
      </c>
    </row>
    <row r="11" ht="30" customHeight="1">
      <c r="A11" s="3" t="inlineStr">
        <is>
          <t>Opción</t>
        </is>
      </c>
      <c r="B11" s="3" t="inlineStr">
        <is>
          <t>Ingreso x cuenta</t>
        </is>
      </c>
      <c r="C11" s="3" t="inlineStr">
        <is>
          <t>Ingreso TOTAL</t>
        </is>
      </c>
      <c r="D11" s="3" t="inlineStr">
        <is>
          <t>¿Cubre el costo?</t>
        </is>
      </c>
      <c r="E11" s="3" t="inlineStr">
        <is>
          <t>Veredicto y por qué</t>
        </is>
      </c>
    </row>
    <row r="12">
      <c r="A12" s="6" t="inlineStr">
        <is>
          <t>1. Banner display (AdSense web)</t>
        </is>
      </c>
      <c r="B12" s="24">
        <f>'1. Supuestos'!$B$28/1000*'1. Supuestos'!$B$25*'1. Supuestos'!$B$6*'1. Supuestos'!$B$18</f>
        <v/>
      </c>
      <c r="C12" s="26">
        <f>B12*'1. Supuestos'!$B$20</f>
        <v/>
      </c>
      <c r="D12" s="27">
        <f>IF(C12&gt;='4. Plan GRATIS'!$B$8,"SÍ","NO")</f>
        <v/>
      </c>
      <c r="E12" s="9" t="inlineStr">
        <is>
          <t>VIABLE HOY — Funciona en web, sin app nativa. Cubre el costo con margen. Contra: abre el CSP y mete scripts de terceros en pantallas con DNI y placas (Ley 29733).</t>
        </is>
      </c>
    </row>
    <row r="13">
      <c r="A13" s="6" t="inlineStr">
        <is>
          <t>2. Patrocinio local directo</t>
        </is>
      </c>
      <c r="B13" s="24">
        <f>'1. Supuestos'!$B$26*'1. Supuestos'!$B$27</f>
        <v/>
      </c>
      <c r="C13" s="26">
        <f>B13</f>
        <v/>
      </c>
      <c r="D13" s="27">
        <f>IF(C13&gt;='4. Plan GRATIS'!$B$8,"SÍ","NO")</f>
        <v/>
      </c>
      <c r="E13" s="9" t="inlineStr">
        <is>
          <t>SIN RIESGO — Sin ad network, sin scripts, sin tracking, CSP intacto. Contra: es venta 1-a-1 tuya, no ingreso pasivo.</t>
        </is>
      </c>
    </row>
    <row r="14">
      <c r="A14" s="2" t="inlineStr">
        <is>
          <t>El patrocinio es un monto fijo total (no por cuenta); el banner escala con tu base gratis.</t>
        </is>
      </c>
    </row>
    <row r="16">
      <c r="A16" s="28" t="inlineStr">
        <is>
          <t>INGRESO PUBLICITARIO SEGÚN LA VÍA QUE ELEGISTE</t>
        </is>
      </c>
      <c r="B16" s="29">
        <f>'1. Supuestos'!$B$23*CHOOSE('1. Supuestos'!$B$24,C12,C13)</f>
        <v/>
      </c>
      <c r="E16" s="2" t="inlineStr">
        <is>
          <t>Cambia 'Vía activa' en la hoja 1 para comparar. Con 0 en 'Activar publicidad' se apaga.</t>
        </is>
      </c>
    </row>
    <row r="18">
      <c r="A18" s="18" t="inlineStr">
        <is>
          <t>C) VÍA 2 — CONVERSIÓN A PRO (aquí está el ingreso de verdad)</t>
        </is>
      </c>
    </row>
    <row r="19" ht="30" customHeight="1">
      <c r="A19" s="3" t="inlineStr">
        <is>
          <t>Concepto</t>
        </is>
      </c>
      <c r="B19" s="3" t="inlineStr">
        <is>
          <t>Valor</t>
        </is>
      </c>
      <c r="C19" s="3" t="inlineStr">
        <is>
          <t>Unidad</t>
        </is>
      </c>
      <c r="D19" s="3" t="inlineStr">
        <is>
          <t>Nota</t>
        </is>
      </c>
    </row>
    <row r="20">
      <c r="A20" s="6" t="inlineStr">
        <is>
          <t>Tasa de conversión gratis → PRO</t>
        </is>
      </c>
      <c r="B20" s="30">
        <f>'1. Supuestos'!$B$30</f>
        <v/>
      </c>
      <c r="C20" s="8" t="inlineStr">
        <is>
          <t>%</t>
        </is>
      </c>
      <c r="D20" s="9" t="inlineStr">
        <is>
          <t>De cada 100 cuentas gratis, cuántas terminan pagando.</t>
        </is>
      </c>
    </row>
    <row r="21">
      <c r="A21" s="6" t="inlineStr">
        <is>
          <t>Clientes PRO que produce tu base gratis</t>
        </is>
      </c>
      <c r="B21" s="21">
        <f>ROUND('1. Supuestos'!$B$20*'1. Supuestos'!$B$30,0)</f>
        <v/>
      </c>
      <c r="C21" s="8" t="inlineStr">
        <is>
          <t>clientes</t>
        </is>
      </c>
      <c r="D21" s="9" t="inlineStr">
        <is>
          <t>Cuentas gratis × tasa de conversión.</t>
        </is>
      </c>
    </row>
    <row r="22">
      <c r="A22" s="22" t="inlineStr">
        <is>
          <t>INGRESO POR CONVERSIÓN</t>
        </is>
      </c>
      <c r="B22" s="25">
        <f>ROUND('1. Supuestos'!$B$20*'1. Supuestos'!$B$30,0)*'5. Plan PRO'!$B$12</f>
        <v/>
      </c>
      <c r="C22" s="8" t="inlineStr">
        <is>
          <t>S/ /mes</t>
        </is>
      </c>
      <c r="D22" s="9" t="inlineStr">
        <is>
          <t>Clientes convertidos × contribución de cada uno.</t>
        </is>
      </c>
    </row>
    <row r="24">
      <c r="A24" s="18" t="inlineStr">
        <is>
          <t>D) BALANCE DEL PLAN GRATIS</t>
        </is>
      </c>
    </row>
    <row r="25" ht="30" customHeight="1">
      <c r="A25" s="3" t="inlineStr">
        <is>
          <t>Concepto</t>
        </is>
      </c>
      <c r="B25" s="3" t="inlineStr">
        <is>
          <t>S/ /mes</t>
        </is>
      </c>
      <c r="C25" s="3" t="inlineStr">
        <is>
          <t>Lectura</t>
        </is>
      </c>
    </row>
    <row r="26">
      <c r="A26" s="6" t="inlineStr">
        <is>
          <t>(+) Ingreso por publicidad</t>
        </is>
      </c>
      <c r="B26" s="24">
        <f>'4. Plan GRATIS'!$B$16</f>
        <v/>
      </c>
      <c r="C26" s="9" t="inlineStr">
        <is>
          <t>Directo, si la activas.</t>
        </is>
      </c>
    </row>
    <row r="27">
      <c r="A27" s="6" t="inlineStr">
        <is>
          <t>(+) Ingreso por conversión a PRO</t>
        </is>
      </c>
      <c r="B27" s="24">
        <f>'4. Plan GRATIS'!$B$22</f>
        <v/>
      </c>
      <c r="C27" s="9" t="inlineStr">
        <is>
          <t>Indirecto, pero es el grande.</t>
        </is>
      </c>
    </row>
    <row r="28">
      <c r="A28" s="6" t="inlineStr">
        <is>
          <t>(–) Costo de la base gratis</t>
        </is>
      </c>
      <c r="B28" s="24">
        <f>-'4. Plan GRATIS'!$B$8</f>
        <v/>
      </c>
      <c r="C28" s="9" t="inlineStr">
        <is>
          <t>Lo que te cuesta servirla.</t>
        </is>
      </c>
    </row>
    <row r="29">
      <c r="A29" s="15" t="inlineStr">
        <is>
          <t>RESULTADO NETO DEL PLAN GRATIS</t>
        </is>
      </c>
      <c r="B29" s="25">
        <f>SUM(B26:B28)</f>
        <v/>
      </c>
      <c r="C29" s="15" t="inlineStr">
        <is>
          <t>Si es positivo, el plan gratis GANA dinero.</t>
        </is>
      </c>
    </row>
    <row r="30">
      <c r="A30" s="22" t="inlineStr">
        <is>
          <t>Retorno por cada sol invertido en el gratis</t>
        </is>
      </c>
      <c r="B30" s="31">
        <f>('4. Plan GRATIS'!$B$16+'4. Plan GRATIS'!$B$22)/'4. Plan GRATIS'!$B$8</f>
        <v/>
      </c>
      <c r="C30" s="9" t="inlineStr">
        <is>
          <t>Cuántas veces recuperas lo que gastas en regalar el producto.</t>
        </is>
      </c>
    </row>
    <row r="32">
      <c r="A32" s="2" t="inlineStr">
        <is>
          <t>• Respuesta a '¿cómo genero ingresos en el plan gratis?': por conversión. La publicidad es el extra, no el motor.</t>
        </is>
      </c>
    </row>
    <row r="33">
      <c r="A33" s="2" t="inlineStr">
        <is>
          <t>• Con 100 cuentas gratis y 5% de conversión obtienes 5 clientes PRO. Eso vale mucho más que cualquier CPM.</t>
        </is>
      </c>
    </row>
    <row r="34">
      <c r="A34" s="2" t="inlineStr">
        <is>
          <t>• Si subes la conversión del 5% al 8%, ganas más que activando publicidad. Optimiza eso primero.</t>
        </is>
      </c>
    </row>
    <row r="35">
      <c r="A35" s="2" t="inlineStr">
        <is>
          <t>• El video rewarded queda descartado por arquitectura: AdMob exige app nativa y Gatekeeper es solo web.</t>
        </is>
      </c>
    </row>
    <row r="36">
      <c r="A36" s="2" t="inlineStr">
        <is>
          <t>• El banner SÍ cubre el costo del gratis. La decisión no es de dinero, es qué le hace al producto y al CSP.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60" customWidth="1" min="3" max="3"/>
  </cols>
  <sheetData>
    <row r="1">
      <c r="A1" s="1" t="inlineStr">
        <is>
          <t>Plan PRO — cuánto te deja cada cliente</t>
        </is>
      </c>
    </row>
    <row r="2">
      <c r="A2" s="2" t="inlineStr">
        <is>
          <t>De lo que cobras a lo que realmente entra al negocio.</t>
        </is>
      </c>
    </row>
    <row r="4" ht="30" customHeight="1">
      <c r="A4" s="3" t="inlineStr">
        <is>
          <t>Concepto</t>
        </is>
      </c>
      <c r="B4" s="3" t="inlineStr">
        <is>
          <t>Importe</t>
        </is>
      </c>
      <c r="C4" s="3" t="inlineStr">
        <is>
          <t>Nota</t>
        </is>
      </c>
      <c r="D4" s="32" t="n"/>
      <c r="E4" s="32" t="n"/>
    </row>
    <row r="5">
      <c r="A5" s="6" t="inlineStr">
        <is>
          <t>Precio de lista</t>
        </is>
      </c>
      <c r="B5" s="24">
        <f>'1. Supuestos'!$B$14</f>
        <v/>
      </c>
      <c r="C5" s="9" t="inlineStr">
        <is>
          <t>Lo que ve el cliente.</t>
        </is>
      </c>
      <c r="D5" s="32" t="n"/>
      <c r="E5" s="32" t="n"/>
    </row>
    <row r="6">
      <c r="A6" s="6" t="inlineStr">
        <is>
          <t>(–) IGV incluido</t>
        </is>
      </c>
      <c r="B6" s="24">
        <f>-('1. Supuestos'!$B$14-'1. Supuestos'!$B$14/(1+'1. Supuestos'!$B$7))</f>
        <v/>
      </c>
      <c r="C6" s="9" t="inlineStr">
        <is>
          <t>Va a SUNAT, no es tuyo.</t>
        </is>
      </c>
      <c r="D6" s="32" t="n"/>
      <c r="E6" s="32" t="n"/>
    </row>
    <row r="7">
      <c r="A7" s="6" t="inlineStr">
        <is>
          <t>(=) Ingreso neto</t>
        </is>
      </c>
      <c r="B7" s="24">
        <f>'1. Supuestos'!$B$14/(1+'1. Supuestos'!$B$7)</f>
        <v/>
      </c>
      <c r="C7" s="9" t="inlineStr">
        <is>
          <t>Lo que factura el negocio.</t>
        </is>
      </c>
      <c r="D7" s="32" t="n"/>
      <c r="E7" s="32" t="n"/>
    </row>
    <row r="8">
      <c r="A8" s="6" t="inlineStr">
        <is>
          <t>(–) Comisión de pasarela</t>
        </is>
      </c>
      <c r="B8" s="24">
        <f>-IF('1. Supuestos'!$B$12=1,('1. Supuestos'!$B$14*'1. Supuestos'!$B$9+'1. Supuestos'!$B$10*'1. Supuestos'!$B$6)*(1+'1. Supuestos'!$B$11),0)</f>
        <v/>
      </c>
      <c r="C8" s="9" t="inlineStr">
        <is>
          <t>Con transferencia/Yape esto es CERO.</t>
        </is>
      </c>
      <c r="D8" s="32" t="n"/>
      <c r="E8" s="32" t="n"/>
    </row>
    <row r="9">
      <c r="A9" s="6" t="inlineStr">
        <is>
          <t>(–) Costo de servirlo</t>
        </is>
      </c>
      <c r="B9" s="24">
        <f>-'3. Costos x Usuario'!$C$13</f>
        <v/>
      </c>
      <c r="C9" s="9" t="inlineStr">
        <is>
          <t>Infraestructura de sus 30 residentes.</t>
        </is>
      </c>
      <c r="D9" s="32" t="n"/>
      <c r="E9" s="32" t="n"/>
    </row>
    <row r="10">
      <c r="A10" s="6" t="inlineStr">
        <is>
          <t>(–) Soporte imputado</t>
        </is>
      </c>
      <c r="B10" s="24">
        <f>-'1. Supuestos'!$B$34</f>
        <v/>
      </c>
      <c r="C10" s="9" t="inlineStr">
        <is>
          <t>En 0: lo das tú y no lo cobras.</t>
        </is>
      </c>
      <c r="D10" s="32" t="n"/>
      <c r="E10" s="32" t="n"/>
    </row>
    <row r="11">
      <c r="A11" s="15" t="inlineStr">
        <is>
          <t>CONTRIBUCIÓN POR CLIENTE / MES</t>
        </is>
      </c>
      <c r="B11" s="25">
        <f>B5+B6+B8+B9+B10</f>
        <v/>
      </c>
      <c r="C11" s="15" t="inlineStr">
        <is>
          <t>Lo que aporta cada cliente a cubrir tus costos fijos.</t>
        </is>
      </c>
      <c r="D11" s="32" t="n"/>
      <c r="E11" s="32" t="n"/>
    </row>
    <row r="12">
      <c r="A12" s="9" t="inlineStr">
        <is>
          <t>Contribución (referencia interna)</t>
        </is>
      </c>
      <c r="B12" s="26">
        <f>B11</f>
        <v/>
      </c>
      <c r="C12" s="9" t="inlineStr">
        <is>
          <t>Celda que usan las hojas 4 y 6. No la muevas.</t>
        </is>
      </c>
      <c r="D12" s="32" t="n"/>
      <c r="E12" s="32" t="n"/>
    </row>
    <row r="13">
      <c r="A13" s="22" t="inlineStr">
        <is>
          <t>Margen de contribución</t>
        </is>
      </c>
      <c r="B13" s="33">
        <f>B11/B5</f>
        <v/>
      </c>
      <c r="C13" s="32" t="n"/>
      <c r="D13" s="32" t="n"/>
      <c r="E13" s="32" t="n"/>
    </row>
    <row r="15">
      <c r="A15" s="18" t="inlineStr">
        <is>
          <t>SENSIBILIDAD DE PRECIO — ¿cuánto debería costar el plan único?</t>
        </is>
      </c>
    </row>
    <row r="16" ht="30" customHeight="1">
      <c r="A16" s="3" t="inlineStr">
        <is>
          <t>Precio PRO</t>
        </is>
      </c>
      <c r="B16" s="3" t="inlineStr">
        <is>
          <t>Contribución</t>
        </is>
      </c>
      <c r="C16" s="3" t="inlineStr">
        <is>
          <t>Clientes para cubrir todo</t>
        </is>
      </c>
      <c r="D16" s="3" t="inlineStr">
        <is>
          <t>Facturación</t>
        </is>
      </c>
      <c r="E16" s="3" t="inlineStr">
        <is>
          <t>Comentario</t>
        </is>
      </c>
    </row>
    <row r="17">
      <c r="A17" s="34" t="n">
        <v>49</v>
      </c>
      <c r="B17" s="24">
        <f>A17/(1+'1. Supuestos'!$B$7)-IF('1. Supuestos'!$B$12=1,(A17*'1. Supuestos'!$B$9+'1. Supuestos'!$B$10*'1. Supuestos'!$B$6)*(1+'1. Supuestos'!$B$11),0)-'3. Costos x Usuario'!$C$13-'1. Supuestos'!$B$34</f>
        <v/>
      </c>
      <c r="C17" s="35">
        <f>ROUNDUP('6. Punto Equilibrio'!$B$10/B17,0)</f>
        <v/>
      </c>
      <c r="D17" s="36">
        <f>C17*A17</f>
        <v/>
      </c>
      <c r="E17" s="9" t="inlineStr">
        <is>
          <t>Muy barato: necesitas casi el doble de clientes para lo mismo.</t>
        </is>
      </c>
    </row>
    <row r="18">
      <c r="A18" s="34" t="n">
        <v>69</v>
      </c>
      <c r="B18" s="24">
        <f>A18/(1+'1. Supuestos'!$B$7)-IF('1. Supuestos'!$B$12=1,(A18*'1. Supuestos'!$B$9+'1. Supuestos'!$B$10*'1. Supuestos'!$B$6)*(1+'1. Supuestos'!$B$11),0)-'3. Costos x Usuario'!$C$13-'1. Supuestos'!$B$34</f>
        <v/>
      </c>
      <c r="C18" s="35">
        <f>ROUNDUP('6. Punto Equilibrio'!$B$10/B18,0)</f>
        <v/>
      </c>
      <c r="D18" s="36">
        <f>C18*A18</f>
        <v/>
      </c>
      <c r="E18" s="9" t="inlineStr">
        <is>
          <t>Entrada agresiva. Útil para arrancar y subir precio después.</t>
        </is>
      </c>
    </row>
    <row r="19">
      <c r="A19" s="34" t="n">
        <v>89</v>
      </c>
      <c r="B19" s="24">
        <f>A19/(1+'1. Supuestos'!$B$7)-IF('1. Supuestos'!$B$12=1,(A19*'1. Supuestos'!$B$9+'1. Supuestos'!$B$10*'1. Supuestos'!$B$6)*(1+'1. Supuestos'!$B$11),0)-'3. Costos x Usuario'!$C$13-'1. Supuestos'!$B$34</f>
        <v/>
      </c>
      <c r="C19" s="35">
        <f>ROUNDUP('6. Punto Equilibrio'!$B$10/B19,0)</f>
        <v/>
      </c>
      <c r="D19" s="36">
        <f>C19*A19</f>
        <v/>
      </c>
      <c r="E19" s="9" t="inlineStr">
        <is>
          <t>El actual. Equilibrio entre volumen y margen.</t>
        </is>
      </c>
    </row>
    <row r="20">
      <c r="A20" s="34" t="n">
        <v>99</v>
      </c>
      <c r="B20" s="24">
        <f>A20/(1+'1. Supuestos'!$B$7)-IF('1. Supuestos'!$B$12=1,(A20*'1. Supuestos'!$B$9+'1. Supuestos'!$B$10*'1. Supuestos'!$B$6)*(1+'1. Supuestos'!$B$11),0)-'3. Costos x Usuario'!$C$13-'1. Supuestos'!$B$34</f>
        <v/>
      </c>
      <c r="C20" s="35">
        <f>ROUNDUP('6. Punto Equilibrio'!$B$10/B20,0)</f>
        <v/>
      </c>
      <c r="D20" s="36">
        <f>C20*A20</f>
        <v/>
      </c>
      <c r="E20" s="9" t="inlineStr">
        <is>
          <t>Cifra redonda, percepción premium. Poca resistencia extra.</t>
        </is>
      </c>
    </row>
    <row r="21">
      <c r="A21" s="34" t="n">
        <v>129</v>
      </c>
      <c r="B21" s="24">
        <f>A21/(1+'1. Supuestos'!$B$7)-IF('1. Supuestos'!$B$12=1,(A21*'1. Supuestos'!$B$9+'1. Supuestos'!$B$10*'1. Supuestos'!$B$6)*(1+'1. Supuestos'!$B$11),0)-'3. Costos x Usuario'!$C$13-'1. Supuestos'!$B$34</f>
        <v/>
      </c>
      <c r="C21" s="35">
        <f>ROUNDUP('6. Punto Equilibrio'!$B$10/B21,0)</f>
        <v/>
      </c>
      <c r="D21" s="36">
        <f>C21*A21</f>
        <v/>
      </c>
      <c r="E21" s="9" t="inlineStr">
        <is>
          <t>Requiere justificar valor: reportes, multi-empresa, soporte.</t>
        </is>
      </c>
    </row>
    <row r="23">
      <c r="A23" s="2" t="inlineStr">
        <is>
          <t>• El fijo de USD 0.30 de la pasarela castiga los precios bajos: a S/49 te comes proporcionalmente el doble de comisión.</t>
        </is>
      </c>
    </row>
    <row r="24">
      <c r="A24" s="2" t="inlineStr">
        <is>
          <t>• Cobrar ANUAL por transferencia elimina la comisión completa y te paga 12 meses por adelantado.</t>
        </is>
      </c>
    </row>
    <row r="26">
      <c r="A26" s="18" t="inlineStr">
        <is>
          <t>¿HASTA DÓNDE AGUANTA EL PLAN ILIMITADO?</t>
        </is>
      </c>
    </row>
    <row r="27">
      <c r="A27" s="2" t="inlineStr">
        <is>
          <t>El único costo que crece con el tamaño del cliente son los correos de aviso. Esta tabla muestra qué queda de los S/ 89 según cuántos residentes tenga.</t>
        </is>
      </c>
    </row>
    <row r="28" ht="30" customHeight="1">
      <c r="A28" s="3" t="inlineStr">
        <is>
          <t>Tamaño del cliente</t>
        </is>
      </c>
      <c r="B28" s="3" t="inlineStr">
        <is>
          <t>Correos al mes</t>
        </is>
      </c>
      <c r="C28" s="3" t="inlineStr">
        <is>
          <t>Costo de correos</t>
        </is>
      </c>
      <c r="D28" s="3" t="inlineStr">
        <is>
          <t>Contribución</t>
        </is>
      </c>
      <c r="E28" s="3" t="inlineStr">
        <is>
          <t>Margen</t>
        </is>
      </c>
    </row>
    <row r="29">
      <c r="A29" s="6" t="inlineStr">
        <is>
          <t>15 residentes</t>
        </is>
      </c>
      <c r="B29" s="21">
        <f>15*'1. Supuestos'!$B$16*2</f>
        <v/>
      </c>
      <c r="C29" s="24">
        <f>15*'1. Supuestos'!$B$16*2*0.0004*'1. Supuestos'!$B$6</f>
        <v/>
      </c>
      <c r="D29" s="26">
        <f>'1. Supuestos'!$B$14/(1+'1. Supuestos'!$B$7)-IF('1. Supuestos'!$B$12=1,('1. Supuestos'!$B$14*'1. Supuestos'!$B$9+'1. Supuestos'!$B$10*'1. Supuestos'!$B$6)*(1+'1. Supuestos'!$B$11),0)-C29</f>
        <v/>
      </c>
      <c r="E29" s="30">
        <f>D29/'1. Supuestos'!$B$14</f>
        <v/>
      </c>
    </row>
    <row r="30">
      <c r="A30" s="6" t="inlineStr">
        <is>
          <t>30 residentes</t>
        </is>
      </c>
      <c r="B30" s="21">
        <f>30*'1. Supuestos'!$B$16*2</f>
        <v/>
      </c>
      <c r="C30" s="24">
        <f>30*'1. Supuestos'!$B$16*2*0.0004*'1. Supuestos'!$B$6</f>
        <v/>
      </c>
      <c r="D30" s="26">
        <f>'1. Supuestos'!$B$14/(1+'1. Supuestos'!$B$7)-IF('1. Supuestos'!$B$12=1,('1. Supuestos'!$B$14*'1. Supuestos'!$B$9+'1. Supuestos'!$B$10*'1. Supuestos'!$B$6)*(1+'1. Supuestos'!$B$11),0)-C30</f>
        <v/>
      </c>
      <c r="E30" s="30">
        <f>D30/'1. Supuestos'!$B$14</f>
        <v/>
      </c>
    </row>
    <row r="31">
      <c r="A31" s="6" t="inlineStr">
        <is>
          <t>100 residentes</t>
        </is>
      </c>
      <c r="B31" s="21">
        <f>100*'1. Supuestos'!$B$16*2</f>
        <v/>
      </c>
      <c r="C31" s="24">
        <f>100*'1. Supuestos'!$B$16*2*0.0004*'1. Supuestos'!$B$6</f>
        <v/>
      </c>
      <c r="D31" s="26">
        <f>'1. Supuestos'!$B$14/(1+'1. Supuestos'!$B$7)-IF('1. Supuestos'!$B$12=1,('1. Supuestos'!$B$14*'1. Supuestos'!$B$9+'1. Supuestos'!$B$10*'1. Supuestos'!$B$6)*(1+'1. Supuestos'!$B$11),0)-C31</f>
        <v/>
      </c>
      <c r="E31" s="30">
        <f>D31/'1. Supuestos'!$B$14</f>
        <v/>
      </c>
    </row>
    <row r="32">
      <c r="A32" s="6" t="inlineStr">
        <is>
          <t>300 residentes</t>
        </is>
      </c>
      <c r="B32" s="21">
        <f>300*'1. Supuestos'!$B$16*2</f>
        <v/>
      </c>
      <c r="C32" s="24">
        <f>300*'1. Supuestos'!$B$16*2*0.0004*'1. Supuestos'!$B$6</f>
        <v/>
      </c>
      <c r="D32" s="26">
        <f>'1. Supuestos'!$B$14/(1+'1. Supuestos'!$B$7)-IF('1. Supuestos'!$B$12=1,('1. Supuestos'!$B$14*'1. Supuestos'!$B$9+'1. Supuestos'!$B$10*'1. Supuestos'!$B$6)*(1+'1. Supuestos'!$B$11),0)-C32</f>
        <v/>
      </c>
      <c r="E32" s="30">
        <f>D32/'1. Supuestos'!$B$14</f>
        <v/>
      </c>
    </row>
    <row r="33">
      <c r="A33" s="6" t="inlineStr">
        <is>
          <t>500 residentes</t>
        </is>
      </c>
      <c r="B33" s="21">
        <f>500*'1. Supuestos'!$B$16*2</f>
        <v/>
      </c>
      <c r="C33" s="24">
        <f>500*'1. Supuestos'!$B$16*2*0.0004*'1. Supuestos'!$B$6</f>
        <v/>
      </c>
      <c r="D33" s="26">
        <f>'1. Supuestos'!$B$14/(1+'1. Supuestos'!$B$7)-IF('1. Supuestos'!$B$12=1,('1. Supuestos'!$B$14*'1. Supuestos'!$B$9+'1. Supuestos'!$B$10*'1. Supuestos'!$B$6)*(1+'1. Supuestos'!$B$11),0)-C33</f>
        <v/>
      </c>
      <c r="E33" s="30">
        <f>D33/'1. Supuestos'!$B$14</f>
        <v/>
      </c>
    </row>
    <row r="34">
      <c r="A34" s="6" t="inlineStr">
        <is>
          <t>1.000 residentes</t>
        </is>
      </c>
      <c r="B34" s="21">
        <f>1000*'1. Supuestos'!$B$16*2</f>
        <v/>
      </c>
      <c r="C34" s="24">
        <f>1000*'1. Supuestos'!$B$16*2*0.0004*'1. Supuestos'!$B$6</f>
        <v/>
      </c>
      <c r="D34" s="26">
        <f>'1. Supuestos'!$B$14/(1+'1. Supuestos'!$B$7)-IF('1. Supuestos'!$B$12=1,('1. Supuestos'!$B$14*'1. Supuestos'!$B$9+'1. Supuestos'!$B$10*'1. Supuestos'!$B$6)*(1+'1. Supuestos'!$B$11),0)-C34</f>
        <v/>
      </c>
      <c r="E34" s="30">
        <f>D34/'1. Supuestos'!$B$14</f>
        <v/>
      </c>
    </row>
    <row r="36">
      <c r="A36" s="28" t="inlineStr">
        <is>
          <t>Residentes necesarios para que un cliente deje de ser rentable</t>
        </is>
      </c>
      <c r="B36" s="37">
        <f>ROUND(('1. Supuestos'!$B$14/(1+'1. Supuestos'!$B$7)-IF('1. Supuestos'!$B$12=1,('1. Supuestos'!$B$14*'1. Supuestos'!$B$9+'1. Supuestos'!$B$10*'1. Supuestos'!$B$6)*(1+'1. Supuestos'!$B$11),0))/('1. Supuestos'!$B$16*2*0.0004*'1. Supuestos'!$B$6),0)</f>
        <v/>
      </c>
      <c r="C36" s="2" t="inlineStr">
        <is>
          <t>Un condominio grande en Perú tiene 200-500 residentes.</t>
        </is>
      </c>
    </row>
    <row r="38">
      <c r="A38" s="2" t="inlineStr">
        <is>
          <t>• ⚠️ Los 30 residentes y las visitas por residente de la hoja 1 NO son límites del plan: son el uso PROMEDIO con el que se estiman los costos. PRO es ilimitado.</t>
        </is>
      </c>
    </row>
    <row r="39">
      <c r="A39" s="2" t="inlineStr">
        <is>
          <t>• El riesgo del "ilimitado" no es el costo de servidor: es el soporte. Y hoy lo das tú sin cobrarlo.</t>
        </is>
      </c>
    </row>
    <row r="40">
      <c r="A40" s="2" t="inlineStr">
        <is>
          <t>• Límite operativo a vigilar: Resend Pro son 50.000 correos al mes. Con clientes de 300 residentes caben unos 10.</t>
        </is>
      </c>
    </row>
    <row r="41">
      <c r="A41" s="2" t="inlineStr">
        <is>
          <t>• Por eso conviene un fair-use de visitas en el contrato: no por dinero, sino para poder decir que no ante un abuso.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60" customWidth="1" min="3" max="3"/>
  </cols>
  <sheetData>
    <row r="1">
      <c r="A1" s="1" t="inlineStr">
        <is>
          <t>Punto de equilibrio de caja</t>
        </is>
      </c>
    </row>
    <row r="2">
      <c r="A2" s="2" t="inlineStr">
        <is>
          <t>Solo cuenta lo que sale del banco. Tu soporte no se cobra, así que no entra.</t>
        </is>
      </c>
    </row>
    <row r="4" ht="30" customHeight="1">
      <c r="A4" s="3" t="inlineStr">
        <is>
          <t>Concepto</t>
        </is>
      </c>
      <c r="B4" s="3" t="inlineStr">
        <is>
          <t>S/ /mes</t>
        </is>
      </c>
      <c r="C4" s="3" t="inlineStr">
        <is>
          <t>Nota</t>
        </is>
      </c>
    </row>
    <row r="5">
      <c r="A5" s="6" t="inlineStr">
        <is>
          <t>Infraestructura</t>
        </is>
      </c>
      <c r="B5" s="36">
        <f>'2. Infraestructura'!$D$11</f>
        <v/>
      </c>
      <c r="C5" s="9" t="inlineStr">
        <is>
          <t>Vercel + Neon + dominio.</t>
        </is>
      </c>
    </row>
    <row r="6">
      <c r="A6" s="6" t="inlineStr">
        <is>
          <t>Tu sueldo</t>
        </is>
      </c>
      <c r="B6" s="36">
        <f>'1. Supuestos'!$B$32</f>
        <v/>
      </c>
      <c r="C6" s="9" t="inlineStr">
        <is>
          <t>El componente más grande de tu estructura.</t>
        </is>
      </c>
    </row>
    <row r="7">
      <c r="A7" s="6" t="inlineStr">
        <is>
          <t>Marketing pagado</t>
        </is>
      </c>
      <c r="B7" s="36">
        <f>'1. Supuestos'!$B$33</f>
        <v/>
      </c>
      <c r="C7" s="9" t="inlineStr">
        <is>
          <t>Limitado a propósito.</t>
        </is>
      </c>
    </row>
    <row r="8">
      <c r="A8" s="22" t="inlineStr">
        <is>
          <t>TOTAL COSTOS FIJOS</t>
        </is>
      </c>
      <c r="B8" s="38">
        <f>SUM(B5:B7)</f>
        <v/>
      </c>
      <c r="C8" s="32" t="n"/>
    </row>
    <row r="9">
      <c r="A9" s="6" t="inlineStr">
        <is>
          <t>(–) Ingreso publicitario del plan gratis</t>
        </is>
      </c>
      <c r="B9" s="36">
        <f>'4. Plan GRATIS'!$B$16</f>
        <v/>
      </c>
      <c r="C9" s="9" t="inlineStr">
        <is>
          <t>Si activaste publicidad, reduce lo que deben cubrir las suscripciones.</t>
        </is>
      </c>
    </row>
    <row r="10">
      <c r="A10" s="22" t="inlineStr">
        <is>
          <t>NETO A CUBRIR CON SUSCRIPCIONES</t>
        </is>
      </c>
      <c r="B10" s="39">
        <f>MAX(0,B8-B9)</f>
        <v/>
      </c>
      <c r="C10" s="32" t="n"/>
    </row>
    <row r="12">
      <c r="A12" s="18" t="inlineStr">
        <is>
          <t>RESULTADO</t>
        </is>
      </c>
    </row>
    <row r="13" ht="30" customHeight="1">
      <c r="A13" s="3" t="inlineStr">
        <is>
          <t>Indicador</t>
        </is>
      </c>
      <c r="B13" s="3" t="inlineStr">
        <is>
          <t>Valor</t>
        </is>
      </c>
      <c r="C13" s="3" t="inlineStr">
        <is>
          <t>Unidad</t>
        </is>
      </c>
      <c r="D13" s="3" t="inlineStr">
        <is>
          <t>Lectura</t>
        </is>
      </c>
    </row>
    <row r="14">
      <c r="A14" s="22" t="inlineStr">
        <is>
          <t>CLIENTES PRO NECESARIOS</t>
        </is>
      </c>
      <c r="B14" s="40">
        <f>ROUNDUP(B10/'5. Plan PRO'!$B$12,0)</f>
        <v/>
      </c>
      <c r="C14" s="8" t="inlineStr">
        <is>
          <t>clientes</t>
        </is>
      </c>
      <c r="D14" s="9" t="inlineStr">
        <is>
          <t>Este es tu número. Todo lo demás es ruido.</t>
        </is>
      </c>
    </row>
    <row r="15">
      <c r="A15" s="6" t="inlineStr">
        <is>
          <t>Facturación mensual en ese punto</t>
        </is>
      </c>
      <c r="B15" s="36">
        <f>ROUNDUP(B10/'5. Plan PRO'!$B$12,0)*'1. Supuestos'!$B$14</f>
        <v/>
      </c>
      <c r="C15" s="8" t="inlineStr">
        <is>
          <t>S/ /mes</t>
        </is>
      </c>
      <c r="D15" s="9" t="inlineStr">
        <is>
          <t>Lo que verías entrar por suscripciones.</t>
        </is>
      </c>
    </row>
    <row r="16">
      <c r="A16" s="6" t="inlineStr">
        <is>
          <t>Cuentas gratis necesarias para producirlos</t>
        </is>
      </c>
      <c r="B16" s="21">
        <f>ROUNDUP(ROUNDUP(B10/'5. Plan PRO'!$B$12,0)/'1. Supuestos'!$B$30,0)</f>
        <v/>
      </c>
      <c r="C16" s="8" t="inlineStr">
        <is>
          <t>cuentas</t>
        </is>
      </c>
      <c r="D16" s="9" t="inlineStr">
        <is>
          <t>Si TODOS tus clientes vinieran del plan gratis, esta es la base que necesitas.</t>
        </is>
      </c>
    </row>
    <row r="17">
      <c r="A17" s="6" t="inlineStr">
        <is>
          <t>Clientes que ya te produce tu base gratis actual</t>
        </is>
      </c>
      <c r="B17" s="21">
        <f>ROUND('1. Supuestos'!$B$20*'1. Supuestos'!$B$30,0)</f>
        <v/>
      </c>
      <c r="C17" s="8" t="inlineStr">
        <is>
          <t>clientes</t>
        </is>
      </c>
      <c r="D17" s="9" t="inlineStr">
        <is>
          <t>Compara contra los clientes necesarios: te dice cuánto te falta.</t>
        </is>
      </c>
    </row>
    <row r="19">
      <c r="A19" s="18" t="inlineStr">
        <is>
          <t>COMPARACIÓN: ¿cuánto aporta cada palanca?</t>
        </is>
      </c>
    </row>
    <row r="20" ht="30" customHeight="1">
      <c r="A20" s="3" t="inlineStr">
        <is>
          <t>Palanca</t>
        </is>
      </c>
      <c r="B20" s="3" t="inlineStr">
        <is>
          <t>Aporte S//mes</t>
        </is>
      </c>
      <c r="C20" s="3" t="inlineStr">
        <is>
          <t>Equivale a</t>
        </is>
      </c>
      <c r="D20" s="3" t="inlineStr">
        <is>
          <t>Comentario</t>
        </is>
      </c>
    </row>
    <row r="21">
      <c r="A21" s="6" t="inlineStr">
        <is>
          <t>Publicidad en el gratis (vía elegida)</t>
        </is>
      </c>
      <c r="B21" s="26">
        <f>'4. Plan GRATIS'!$B$16</f>
        <v/>
      </c>
      <c r="C21" s="41">
        <f>B21/'5. Plan PRO'!$B$12</f>
        <v/>
      </c>
      <c r="D21" s="9" t="inlineStr">
        <is>
          <t>Ingreso directo. Con banner escala con tu base gratis.</t>
        </is>
      </c>
    </row>
    <row r="22">
      <c r="A22" s="6" t="inlineStr">
        <is>
          <t>Conversión gratis → PRO</t>
        </is>
      </c>
      <c r="B22" s="26">
        <f>'4. Plan GRATIS'!$B$22</f>
        <v/>
      </c>
      <c r="C22" s="41">
        <f>B22/'5. Plan PRO'!$B$12</f>
        <v/>
      </c>
      <c r="D22" s="9" t="inlineStr">
        <is>
          <t>El motor real del negocio.</t>
        </is>
      </c>
    </row>
    <row r="23">
      <c r="A23" s="6" t="inlineStr">
        <is>
          <t>Quitar la pasarela (cobro anual)</t>
        </is>
      </c>
      <c r="B23" s="26">
        <f>IF('1. Supuestos'!$B$12=1,('1. Supuestos'!$B$14*'1. Supuestos'!$B$9+'1. Supuestos'!$B$10*'1. Supuestos'!$B$6)*(1+'1. Supuestos'!$B$11)*ROUNDUP(B10/'5. Plan PRO'!$B$12,0),0)</f>
        <v/>
      </c>
      <c r="C23" s="41">
        <f>B23/'5. Plan PRO'!$B$12</f>
        <v/>
      </c>
      <c r="D23" s="9" t="inlineStr">
        <is>
          <t>Ahorro inmediato, sin vender nada más.</t>
        </is>
      </c>
    </row>
    <row r="25">
      <c r="A25" s="2" t="inlineStr">
        <is>
          <t>• La columna 'Equivale a' traduce cada palanca a clientes PRO. Así comparas peras con peras.</t>
        </is>
      </c>
    </row>
    <row r="26">
      <c r="A26" s="2" t="inlineStr">
        <is>
          <t>• Si la conversión aporta más que la publicidad, tu esfuerzo va en producto y onboarding, no en anuncios.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2026-08-06T19:31:51Z</dcterms:created>
  <dcterms:modified xmlns:dcterms="http://purl.org/dc/terms/" xmlns:xsi="http://www.w3.org/2001/XMLSchema-instance" xsi:type="dcterms:W3CDTF">2026-08-06T19:31:51Z</dcterms:modified>
</cp:coreProperties>
</file>